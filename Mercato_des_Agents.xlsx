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ités &amp; Classement" sheetId="1" r:id="rId5"/>
    <sheet state="visible" name="Pool de Critères" sheetId="2" r:id="rId6"/>
    <sheet state="visible" name="Pool de missions" sheetId="3" r:id="rId7"/>
    <sheet state="visible" name="Tirage du Mercato" sheetId="4" r:id="rId8"/>
  </sheets>
  <definedNames/>
  <calcPr/>
</workbook>
</file>

<file path=xl/sharedStrings.xml><?xml version="1.0" encoding="utf-8"?>
<sst xmlns="http://schemas.openxmlformats.org/spreadsheetml/2006/main" count="430" uniqueCount="357">
  <si>
    <t>Submission ID</t>
  </si>
  <si>
    <t>Respondent ID</t>
  </si>
  <si>
    <t>Submitted at</t>
  </si>
  <si>
    <t>Comment tu t'appelles ?</t>
  </si>
  <si>
    <t>Mission actuelle</t>
  </si>
  <si>
    <t>🔐 Softr Record ID</t>
  </si>
  <si>
    <t>Adam</t>
  </si>
  <si>
    <t>Paris 16e</t>
  </si>
  <si>
    <t>3CSscV6wELNnXRL3MasVR3</t>
  </si>
  <si>
    <t>Adrien Thomas</t>
  </si>
  <si>
    <t>Puteaux</t>
  </si>
  <si>
    <t>3PW6eNq4QqPWiRn9tjxHwc</t>
  </si>
  <si>
    <t>Agathe R</t>
  </si>
  <si>
    <t>Neuilly</t>
  </si>
  <si>
    <t>Jd8ZvqDP4beT1utyHbHn26</t>
  </si>
  <si>
    <t>Alexandre T</t>
  </si>
  <si>
    <t>Lyon</t>
  </si>
  <si>
    <t>FAXitZFzr1NPz383mjKqid</t>
  </si>
  <si>
    <t>Anne Couapel</t>
  </si>
  <si>
    <t>Paris 15e</t>
  </si>
  <si>
    <t>7RM7MiMUfKwcGMp5yzK7MY</t>
  </si>
  <si>
    <t>Antoni De Jesus</t>
  </si>
  <si>
    <t>Lyon 8e</t>
  </si>
  <si>
    <t>J73RNUFisSsEkhaVQmk4wr</t>
  </si>
  <si>
    <t>Antoine Wischlen</t>
  </si>
  <si>
    <t>Paris 7e</t>
  </si>
  <si>
    <t>HvNr4AJCEYumNTB3YBp5Ff</t>
  </si>
  <si>
    <t>Arno Larode</t>
  </si>
  <si>
    <t>Choisy-le-Roi</t>
  </si>
  <si>
    <t>9TU5JGmrNRwedDdHdK6fLC</t>
  </si>
  <si>
    <t>Audrey</t>
  </si>
  <si>
    <t>Toulouse</t>
  </si>
  <si>
    <t>V4yjDi1WzeFBk4SZU8RcDU</t>
  </si>
  <si>
    <t>Cedric Kouakam</t>
  </si>
  <si>
    <t>MB2MrqY4LaoPjXP9icTsAq</t>
  </si>
  <si>
    <t>Celya</t>
  </si>
  <si>
    <t>Paris 3e</t>
  </si>
  <si>
    <t>G9faF9fH57JXp7yBszbNP3</t>
  </si>
  <si>
    <t>Charles Lefeuvre</t>
  </si>
  <si>
    <t>9WDVkf9JwMfbcBSyqk96a4</t>
  </si>
  <si>
    <t>Chris B</t>
  </si>
  <si>
    <t>Lyon 5e</t>
  </si>
  <si>
    <t>ANN26gEJi2Cz75GyqoASqN</t>
  </si>
  <si>
    <t>Clémence</t>
  </si>
  <si>
    <t>TQ2WLitcSQWjb2dFZjnMrR</t>
  </si>
  <si>
    <t>Dominique</t>
  </si>
  <si>
    <t>Ezanville</t>
  </si>
  <si>
    <t>RezN6q5LMBReij5ZHxqDoc</t>
  </si>
  <si>
    <t>Clara Grousset</t>
  </si>
  <si>
    <t>Lyon 6e</t>
  </si>
  <si>
    <t>T1Yg4yUAfrjFahkXUMRQUF</t>
  </si>
  <si>
    <t>Eléna</t>
  </si>
  <si>
    <t>Paris</t>
  </si>
  <si>
    <t>V6JgWp3FkoHYAdnNEJYEUF</t>
  </si>
  <si>
    <t>Elisa</t>
  </si>
  <si>
    <t>6vKiM13jyKomiHkfGx4pGP</t>
  </si>
  <si>
    <t>Elo</t>
  </si>
  <si>
    <t>Saint-Fons</t>
  </si>
  <si>
    <t>PYGTF4Yhc9FjY2znFhDDN5</t>
  </si>
  <si>
    <t>Emma Frachet</t>
  </si>
  <si>
    <t>Paris 18e</t>
  </si>
  <si>
    <t>NncqRZ81SHS7vzqgYeC6fP</t>
  </si>
  <si>
    <t>Emma Charrade</t>
  </si>
  <si>
    <t>MwoBGr7ftzNdXoPVkafWF2</t>
  </si>
  <si>
    <t>Enzo V</t>
  </si>
  <si>
    <t>8uB1XWKBV6kJkJiSGBoeeD</t>
  </si>
  <si>
    <t>Florent JIN</t>
  </si>
  <si>
    <t>Aubervilliers</t>
  </si>
  <si>
    <t>UZNb3HGKkeba2pXdMg3kR4</t>
  </si>
  <si>
    <t>Grégoire</t>
  </si>
  <si>
    <t>AuzKLfifXF4143mzsv1iub</t>
  </si>
  <si>
    <t>Guillaume K</t>
  </si>
  <si>
    <t>Lyon 3e</t>
  </si>
  <si>
    <t>AkG7B5REsQBJ6rmHCqBd57</t>
  </si>
  <si>
    <t>Hugo Illoul</t>
  </si>
  <si>
    <t>Sète</t>
  </si>
  <si>
    <t>8xMhTaaU2We1wcLxMHWBqn</t>
  </si>
  <si>
    <t>Hugo Calio</t>
  </si>
  <si>
    <t>Udr3sVZTum13LFDpg49ktU</t>
  </si>
  <si>
    <t>Hugo Chirossel</t>
  </si>
  <si>
    <t>Paris 17e</t>
  </si>
  <si>
    <t>KujYxkeyTwosbJE7DAkuih</t>
  </si>
  <si>
    <t>Idris</t>
  </si>
  <si>
    <t>Montrouge</t>
  </si>
  <si>
    <t>YaqpsrWA2TYrY5UPPMPyZT</t>
  </si>
  <si>
    <t>Julien Gillet</t>
  </si>
  <si>
    <t>GtnrEdw7u5LTmbxW3FsYNJ</t>
  </si>
  <si>
    <t>Jules</t>
  </si>
  <si>
    <t>9TPiQtfeZd4nWNkNKwpECC</t>
  </si>
  <si>
    <t>Julie Felicia</t>
  </si>
  <si>
    <t>u5eytpJ51t8VW6HG5Di3X</t>
  </si>
  <si>
    <t>Julie La Parisienne</t>
  </si>
  <si>
    <t>AKdA1UHwbtatFUv95Xvn3P</t>
  </si>
  <si>
    <t>Alex Becquet</t>
  </si>
  <si>
    <t>Boulogne</t>
  </si>
  <si>
    <t>5Dryupfa8HZ4G5aYN3czTA</t>
  </si>
  <si>
    <t>Léa Becquet</t>
  </si>
  <si>
    <t>Gouvieux</t>
  </si>
  <si>
    <t>M4oGbA3vsAcBQu1Hfe1uza</t>
  </si>
  <si>
    <t>Loïc Laurent</t>
  </si>
  <si>
    <t>Paris 12e</t>
  </si>
  <si>
    <t>W1CANxkNLWrLKY7JfwLZ9w</t>
  </si>
  <si>
    <t>Lucile Ferrand</t>
  </si>
  <si>
    <t>Grenoble</t>
  </si>
  <si>
    <t>T9o6NHDpxbdqTbMCNrJrA4</t>
  </si>
  <si>
    <t>Margot</t>
  </si>
  <si>
    <t>BUjcjj3YnRQpQDBS4fJtpR</t>
  </si>
  <si>
    <t>Marie Warolin</t>
  </si>
  <si>
    <t>Wx7nHxSiNRj9r2x4U5xGQz</t>
  </si>
  <si>
    <t>Marin Come</t>
  </si>
  <si>
    <t>FDbXoamfd94Coc8DyHtNFx</t>
  </si>
  <si>
    <t>Mathilde Cornu Becquet</t>
  </si>
  <si>
    <t>UpviYu6iCbLWQdimyW4epj</t>
  </si>
  <si>
    <t>Mathis Rattier</t>
  </si>
  <si>
    <t>5jQQzVmgpQoVH3UJQLYMWe</t>
  </si>
  <si>
    <t>Maxence Trognon</t>
  </si>
  <si>
    <t>Paris 11e</t>
  </si>
  <si>
    <t>CNAT8PRdaqym96k291vTDQ</t>
  </si>
  <si>
    <t>Médéric</t>
  </si>
  <si>
    <t>Uwdd1Rx1YpCFubHCDnTnWt</t>
  </si>
  <si>
    <t>Armelle Servoles</t>
  </si>
  <si>
    <t>Paris 8e / Versailles</t>
  </si>
  <si>
    <t>WgS8AYgQEQTNPjWGra81XW</t>
  </si>
  <si>
    <t>Augustin Carré</t>
  </si>
  <si>
    <t>St Germain en Laye</t>
  </si>
  <si>
    <t>US9DKbroFayRUmtFKdctsm</t>
  </si>
  <si>
    <t>Nassim Khelifi</t>
  </si>
  <si>
    <t>8VyKd3R8EinaLanukxUUd9</t>
  </si>
  <si>
    <t>Nicolas Dupasquier</t>
  </si>
  <si>
    <t>BUi7Qp1KBs1y2qQ1Jd6NCt</t>
  </si>
  <si>
    <t>Nicolas Leseurre</t>
  </si>
  <si>
    <t>MpUVq91t8neQNdc2pumUiX</t>
  </si>
  <si>
    <t>Danovan</t>
  </si>
  <si>
    <t>TMcsPB9RAURXPcqhFgkaS6</t>
  </si>
  <si>
    <t>Philippe</t>
  </si>
  <si>
    <t>ARAwwfKaENJeqYj7wFgaK9</t>
  </si>
  <si>
    <t>Pierre Moureaux</t>
  </si>
  <si>
    <t>Paris 9e</t>
  </si>
  <si>
    <t>HPup86waHhpBtwfeTMnEC8</t>
  </si>
  <si>
    <t>Quentin Jacku</t>
  </si>
  <si>
    <t>VcEz8gM9Zsqtx5k6pFuaZy</t>
  </si>
  <si>
    <t>Rayan Zegadi</t>
  </si>
  <si>
    <t>T6XKML7LW8GHduzR1z351e</t>
  </si>
  <si>
    <t>Rhayan Belayachi</t>
  </si>
  <si>
    <t>Noisy le Grand</t>
  </si>
  <si>
    <t>TXzmNJrAPYTTJLBRn5RWd5</t>
  </si>
  <si>
    <t>Remi</t>
  </si>
  <si>
    <t>NRNGLywbkDhzTQk9ccfyuZ</t>
  </si>
  <si>
    <t>Sabine BLIN</t>
  </si>
  <si>
    <t>3vWERXcMrcuAkMhPnrpBzh</t>
  </si>
  <si>
    <t>Seb Udriste</t>
  </si>
  <si>
    <t>77cm9zU24i7xtgkeCqpSBG</t>
  </si>
  <si>
    <t>Shams</t>
  </si>
  <si>
    <t>KhVm9Z9dtbzRfBfh7Qtk7T</t>
  </si>
  <si>
    <t>Téo Chabot</t>
  </si>
  <si>
    <t>Dd4qrvQjyaSjcU39NVcVu6</t>
  </si>
  <si>
    <t>Quentin Mas</t>
  </si>
  <si>
    <t>TxYMe1nNavgCTWEQ18euGA</t>
  </si>
  <si>
    <t>Tom</t>
  </si>
  <si>
    <t>N1EHfrnPZGKCTLRn44vcex</t>
  </si>
  <si>
    <t>François</t>
  </si>
  <si>
    <t>Villeurbanne</t>
  </si>
  <si>
    <t>FJSteFeBWfdvh2wvUWnfsa</t>
  </si>
  <si>
    <t>Vincent</t>
  </si>
  <si>
    <t>Meudon</t>
  </si>
  <si>
    <t>S9Hkrz8xxEoDnujxRKsz6k</t>
  </si>
  <si>
    <t>Yann Trillat</t>
  </si>
  <si>
    <t>8s6j3hvByhtoWyJm6riKXv</t>
  </si>
  <si>
    <t>Ivana</t>
  </si>
  <si>
    <t>Km8T1xwbCLbwtZzSQ6KERh</t>
  </si>
  <si>
    <t>Lucas Nobile</t>
  </si>
  <si>
    <t>5oLRR6PBvqj1ZEZy4ZHUvC</t>
  </si>
  <si>
    <t>Arbitre 1</t>
  </si>
  <si>
    <t>Arbitre</t>
  </si>
  <si>
    <t>FootMode2026</t>
  </si>
  <si>
    <t>49jqpMyh58P5ZAoFw9XfzF</t>
  </si>
  <si>
    <t>Arbitre 2</t>
  </si>
  <si>
    <t>U2mMkVukFK4tqtGC6Przg2</t>
  </si>
  <si>
    <t>ID</t>
  </si>
  <si>
    <t>Critère</t>
  </si>
  <si>
    <t>Catégorie</t>
  </si>
  <si>
    <t>CRIT-01</t>
  </si>
  <si>
    <t>Un maillot avec du bleu dominant</t>
  </si>
  <si>
    <t>Catégorie A</t>
  </si>
  <si>
    <t>CRIT-02</t>
  </si>
  <si>
    <t>Un maillot avec du blanc dominant</t>
  </si>
  <si>
    <t>CRIT-03</t>
  </si>
  <si>
    <t>Un maillot avec du rouge dominant</t>
  </si>
  <si>
    <t>CRIT-04</t>
  </si>
  <si>
    <t>Un maillot avec du noir ou du gris foncé</t>
  </si>
  <si>
    <t>CRIT-05</t>
  </si>
  <si>
    <t>Un maillot avec une couleur "flashy" (jaune, orange, rose ou vert fluo)</t>
  </si>
  <si>
    <t>CRIT-06</t>
  </si>
  <si>
    <t>Un maillot avec des rayures verticales (type Juventus, Argentine, Milan AC...)</t>
  </si>
  <si>
    <t>CRIT-07</t>
  </si>
  <si>
    <t>Un maillot avec des motifs géométriques discrets dans le tissu</t>
  </si>
  <si>
    <t>CRIT-08</t>
  </si>
  <si>
    <t>Un maillot avec un col à boutons (type polo)</t>
  </si>
  <si>
    <t>CRIT-09</t>
  </si>
  <si>
    <t>Un maillot avec des manches d'une couleur différente du torse (style Arsenal/West Ham)</t>
  </si>
  <si>
    <t>CRIT-10</t>
  </si>
  <si>
    <t>Un maillot avec le logo Adidas (les 3 bandes ou le trèfle vintage)</t>
  </si>
  <si>
    <t>Catégorie B</t>
  </si>
  <si>
    <t>CRIT-11</t>
  </si>
  <si>
    <t>Un maillot avec le logo Nike (la virgule)</t>
  </si>
  <si>
    <t>CRIT-12</t>
  </si>
  <si>
    <t>Un maillot avec un autre équipementier que Nike ou Adidas (Puma, Kappa, Umbro, Hummel...)</t>
  </si>
  <si>
    <t>CRIT-13</t>
  </si>
  <si>
    <t>Un maillot avec un écusson rond (type Manchester City, PSG, Chelsea...)</t>
  </si>
  <si>
    <t>CRIT-14</t>
  </si>
  <si>
    <t>Un maillot avec un animal sur l'écusson (coq, lion, aigle, loup...)</t>
  </si>
  <si>
    <t>CRIT-15</t>
  </si>
  <si>
    <t>Un maillot avec au moins une étoile au-dessus ou dans l'écusson (sélections ou club)</t>
  </si>
  <si>
    <t>CRIT-16</t>
  </si>
  <si>
    <t>Un maillot avec un drapeau national visible (hors écusson)</t>
  </si>
  <si>
    <t>CRIT-17</t>
  </si>
  <si>
    <t>Un maillot de club français (PSG, OM, OL, Lens...)</t>
  </si>
  <si>
    <t>CRIT-18</t>
  </si>
  <si>
    <t>Un maillot de club étranger (Real Madrid, Barça, Juventus, Liverpool...)</t>
  </si>
  <si>
    <t>CRIT-19</t>
  </si>
  <si>
    <t>Un maillot d'une sélection nationale (France, Italie, Portugal, Brésil...)</t>
  </si>
  <si>
    <t>CRIT-20</t>
  </si>
  <si>
    <t>Un maillot floqué avec le numéro 10</t>
  </si>
  <si>
    <t>Catégorie C</t>
  </si>
  <si>
    <t>CRIT-21</t>
  </si>
  <si>
    <t>Un maillot floqué avec le numéro 7 ou le numéro 9</t>
  </si>
  <si>
    <t>CRIT-22</t>
  </si>
  <si>
    <t>Un maillot avec un numéro à deux chiffres (ex: 23, 30, 99...)</t>
  </si>
  <si>
    <t>CRIT-23</t>
  </si>
  <si>
    <t>Un maillot avec un numéro impair dans le dos</t>
  </si>
  <si>
    <t>CRIT-24</t>
  </si>
  <si>
    <t>Un maillot avec un nom de joueur qui commence par la lettre M, C ou R (Mbappé, Ronaldo, CR7, Messi...)</t>
  </si>
  <si>
    <t>CRIT-25</t>
  </si>
  <si>
    <t>Un maillot avec le nom d'un joueur qui ne joue plus aujourd'hui (Flocage rétro : Zidane, Henry, Ronaldinho, Beckham...)</t>
  </si>
  <si>
    <t>CRIT-26</t>
  </si>
  <si>
    <t>Un maillot sans aucun flocage dans le dos (dos totalement vierge)</t>
  </si>
  <si>
    <t>CRIT-27</t>
  </si>
  <si>
    <t>Un maillot dont le numéro est écrit en blanc ou en doré</t>
  </si>
  <si>
    <t>CRIT-28</t>
  </si>
  <si>
    <t>Un maillot avec un sponsor écrit en gros caractères blancs sur le ventre</t>
  </si>
  <si>
    <t>Catégorie D</t>
  </si>
  <si>
    <t>CRIT-29</t>
  </si>
  <si>
    <t>Un maillot avec une marque de compagnie aérienne en sponsor (Emirates, Qatar Airways, Etihad...)</t>
  </si>
  <si>
    <t>CRIT-30</t>
  </si>
  <si>
    <t>Un maillot avec une marque de bière ou de site de paris en ligne en sponsor</t>
  </si>
  <si>
    <t>CRIT-31</t>
  </si>
  <si>
    <t>Un maillot avec un sponsor lié à l'automobile ou aux pneus (Jeep, Pirelli, Chevrolet...)</t>
  </si>
  <si>
    <t>CRIT-32</t>
  </si>
  <si>
    <t>Un maillot avec des bandes ou liserés de couleur au bout des manches</t>
  </si>
  <si>
    <t>CRIT-33</t>
  </si>
  <si>
    <t>Un maillot avec une phrase ou une date écrite à l'intérieur du col (le petit détail caché)</t>
  </si>
  <si>
    <t>CRIT-34</t>
  </si>
  <si>
    <t>Un maillot à manches longues (ou porté avec un sous-maillot à manches longues en dessous)</t>
  </si>
  <si>
    <t>CRIT-35</t>
  </si>
  <si>
    <t>Un maillot "Édition spéciale" ou "Collector" (noir et or, collab mode type Jordan/PSG, Palace/Juventus)</t>
  </si>
  <si>
    <t>N°</t>
  </si>
  <si>
    <t>Mission</t>
  </si>
  <si>
    <t>Un maillot avec du bleu dominant, le logo Adidas (les 3 bandes ou le trèfle vintage) et floqué avec le numéro 10.</t>
  </si>
  <si>
    <t>Un maillot avec du blanc dominant, le logo Nike (la virgule) et floqué avec le numéro 7 ou le numéro 9.</t>
  </si>
  <si>
    <t>Un maillot avec du rouge dominant, un autre équipementier que Nike ou Adidas (Puma, Kappa, Umbro, Hummel...) et un numéro à deux chiffres (ex: 23, 30, 99...).</t>
  </si>
  <si>
    <t>Un maillot avec du noir ou du gris foncé, un écusson rond (type Manchester City, PSG, Chelsea...) et un numéro impair dans le dos.</t>
  </si>
  <si>
    <t>Un maillot avec une couleur "flashy" (jaune, orange, rose ou vert fluo), un animal sur l'écusson (coq, lion, aigle, loup...) et un nom de joueur qui commence par la lettre M, C ou R (Mbappé, Ronaldo, CR7, Messi...).</t>
  </si>
  <si>
    <t>Un maillot avec des rayures verticales (type Juventus, Argentine, Milan AC...), au moins une étoile au-dessus ou dans l'écusson (sélections ou club) et le nom d'un joueur qui ne joue plus aujourd'hui (Flocage rétro : Zidane, Henry, Ronaldinho, Beckham...).</t>
  </si>
  <si>
    <t>Un maillot avec des motifs géométriques discrets dans le tissu, un drapeau national visible (hors écusson) et sans aucun flocage dans le dos (dos totalement vierge).</t>
  </si>
  <si>
    <t>Un maillot avec un col à boutons (type polo), de club français (PSG, OM, OL, Lens...) et dont le numéro est écrit en blanc ou en doré.</t>
  </si>
  <si>
    <t>Un maillot avec des manches d'une couleur différente du torse (style Arsenal/West Ham), de club étranger (Real Madrid, Barça, Juventus, Liverpool...) et floqué avec le numéro 10.</t>
  </si>
  <si>
    <t>Un maillot avec du bleu dominant, d'une sélection nationale (France, Italie, Portugal, Brésil...) et floqué avec le numéro 7 ou le numéro 9.</t>
  </si>
  <si>
    <t>Un maillot avec du blanc dominant, le logo Adidas (les 3 bandes ou le trèfle vintage) et un numéro à deux chiffres (ex: 23, 30, 99...).</t>
  </si>
  <si>
    <t>Un maillot avec du rouge dominant, le logo Nike (la virgule) et un numéro impair dans le dos.</t>
  </si>
  <si>
    <t>Un maillot avec du noir ou du gris foncé, un autre équipementier que Nike ou Adidas (Puma, Kappa, Umbro, Hummel...) et un nom de joueur qui commence par la lettre M, C ou R (Mbappé, Ronaldo, CR7, Messi...).</t>
  </si>
  <si>
    <t>Un maillot avec une couleur "flashy" (jaune, orange, rose ou vert fluo), un écusson rond (type Manchester City, PSG, Chelsea...) et le nom d'un joueur qui ne joue plus aujourd'hui (Flocage rétro : Zidane, Henry, Ronaldinho, Beckham...).</t>
  </si>
  <si>
    <t>Un maillot avec des rayures verticales (type Juventus, Argentine, Milan AC...), un animal sur l'écusson (coq, lion, aigle, loup...) et sans aucun flocage dans le dos (dos totalement vierge).</t>
  </si>
  <si>
    <t>Un maillot avec des motifs géométriques discrets dans le tissu, au moins une étoile au-dessus ou dans l'écusson (sélections ou club) et dont le numéro est écrit en blanc ou en doré.</t>
  </si>
  <si>
    <t>Un maillot avec un col à boutons (type polo), un drapeau national visible (hors écusson) et floqué avec le numéro 10.</t>
  </si>
  <si>
    <t>Un maillot avec des manches d'une couleur différente du torse (style Arsenal/West Ham), de club français (PSG, OM, OL, Lens...) et floqué avec le numéro 7 ou le numéro 9.</t>
  </si>
  <si>
    <t>Un maillot avec du bleu dominant, de club étranger (Real Madrid, Barça, Juventus, Liverpool...) et un numéro à deux chiffres (ex: 23, 30, 99...).</t>
  </si>
  <si>
    <t>Un maillot avec du blanc dominant, d'une sélection nationale (France, Italie, Portugal, Brésil...) et un numéro impair dans le dos.</t>
  </si>
  <si>
    <t>Un maillot avec du rouge dominant, le logo Adidas (les 3 bandes ou le trèfle vintage) et un nom de joueur qui commence par la lettre M, C ou R (Mbappé, Ronaldo, CR7, Messi...).</t>
  </si>
  <si>
    <t>Un maillot avec du noir ou du gris foncé, le logo Nike (la virgule) et le nom d'un joueur qui ne joue plus aujourd'hui (Flocage rétro : Zidane, Henry, Ronaldinho, Beckham...).</t>
  </si>
  <si>
    <t>Un maillot avec une couleur "flashy" (jaune, orange, rose ou vert fluo), un autre équipementier que Nike ou Adidas (Puma, Kappa, Umbro, Hummel...) et sans aucun flocage dans le dos (dos totalement vierge).</t>
  </si>
  <si>
    <t>Un maillot avec des rayures verticales (type Juventus, Argentine, Milan AC...), un écusson rond (type Manchester City, PSG, Chelsea...) et dont le numéro est écrit en blanc ou en doré.</t>
  </si>
  <si>
    <t>Un maillot avec des motifs géométriques discrets dans le tissu, un animal sur l'écusson (coq, lion, aigle, loup...) et floqué avec le numéro 10.</t>
  </si>
  <si>
    <t>Un maillot avec un col à boutons (type polo), au moins une étoile au-dessus ou dans l'écusson (sélections ou club) et un sponsor écrit en gros caractères blancs sur le ventre.</t>
  </si>
  <si>
    <t>Un maillot avec des manches d'une couleur différente du torse (style Arsenal/West Ham), un drapeau national visible (hors écusson) et une marque de compagnie aérienne en sponsor (Emirates, Qatar Airways, Etihad...).</t>
  </si>
  <si>
    <t>Un maillot avec du bleu dominant, de club français (PSG, OM, OL, Lens...) et une marque de bière ou de site de paris en ligne en sponsor.</t>
  </si>
  <si>
    <t>Un maillot avec du blanc dominant, de club étranger (Real Madrid, Barça, Juventus, Liverpool...) et un sponsor lié à l'automobile ou aux pneus (Jeep, Pirelli, Chevrolet...).</t>
  </si>
  <si>
    <t>Un maillot avec du rouge dominant, d'une sélection nationale (France, Italie, Portugal, Brésil...) et des bandes ou liserés de couleur au bout des manches.</t>
  </si>
  <si>
    <t>Un maillot avec du noir ou du gris foncé, le logo Adidas (les 3 bandes ou le trèfle vintage) et une phrase ou une date écrite à l'intérieur du col (le petit détail caché).</t>
  </si>
  <si>
    <t>Un maillot avec une couleur "flashy" (jaune, orange, rose ou vert fluo), le logo Nike (la virgule) et à manches longues (ou porté avec un sous-maillot à manches longues en dessous).</t>
  </si>
  <si>
    <t>Un maillot avec des rayures verticales (type Juventus, Argentine, Milan AC...), un autre équipementier que Nike ou Adidas (Puma, Kappa, Umbro, Hummel...) et "Édition spéciale" ou "Collector" (noir et or, collab mode type Jordan/PSG, Palace/Juventus).</t>
  </si>
  <si>
    <t>Un maillot avec des motifs géométriques discrets dans le tissu, un écusson rond (type Manchester City, PSG, Chelsea...) et un sponsor écrit en gros caractères blancs sur le ventre.</t>
  </si>
  <si>
    <t>Un maillot avec un col à boutons (type polo), un animal sur l'écusson (coq, lion, aigle, loup...) et une marque de compagnie aérienne en sponsor (Emirates, Qatar Airways, Etihad...).</t>
  </si>
  <si>
    <t>Un maillot avec des manches d'une couleur différente du torse (style Arsenal/West Ham), au moins une étoile au-dessus ou dans l'écusson (sélections ou club) et une marque de bière ou de site de paris en ligne en sponsor.</t>
  </si>
  <si>
    <t>Un maillot avec du bleu dominant, un drapeau national visible (hors écusson) et un sponsor lié à l'automobile ou aux pneus (Jeep, Pirelli, Chevrolet...).</t>
  </si>
  <si>
    <t>Un maillot avec du blanc dominant, de club français (PSG, OM, OL, Lens...) et des bandes ou liserés de couleur au bout des manches.</t>
  </si>
  <si>
    <t>Un maillot avec du rouge dominant, de club étranger (Real Madrid, Barça, Juventus, Liverpool...) et une phrase ou une date écrite à l'intérieur du col (le petit détail caché).</t>
  </si>
  <si>
    <t>Un maillot avec du noir ou du gris foncé, d'une sélection nationale (France, Italie, Portugal, Brésil...) et à manches longues (ou porté avec un sous-maillot à manches longues en dessous).</t>
  </si>
  <si>
    <t>Un maillot avec une couleur "flashy" (jaune, orange, rose ou vert fluo), le logo Adidas (les 3 bandes ou le trèfle vintage) et "Édition spéciale" ou "Collector" (noir et or, collab mode type Jordan/PSG, Palace/Juventus).</t>
  </si>
  <si>
    <t>Un maillot avec des rayures verticales (type Juventus, Argentine, Milan AC...), le logo Nike (la virgule) et un sponsor écrit en gros caractères blancs sur le ventre.</t>
  </si>
  <si>
    <t>Un maillot avec des motifs géométriques discrets dans le tissu, un autre équipementier que Nike ou Adidas (Puma, Kappa, Umbro, Hummel...) et une marque de compagnie aérienne en sponsor (Emirates, Qatar Airways, Etihad...).</t>
  </si>
  <si>
    <t>Un maillot avec un col à boutons (type polo), un écusson rond (type Manchester City, PSG, Chelsea...) et une marque de bière ou de site de paris en ligne en sponsor.</t>
  </si>
  <si>
    <t>Un maillot avec des manches d'une couleur différente du torse (style Arsenal/West Ham), un animal sur l'écusson (coq, lion, aigle, loup...) et un sponsor lié à l'automobile ou aux pneus (Jeep, Pirelli, Chevrolet...).</t>
  </si>
  <si>
    <t>Un maillot avec du bleu dominant, au moins une étoile au-dessus ou dans l'écusson (sélections ou club) et des bandes ou liserés de couleur au bout des manches.</t>
  </si>
  <si>
    <t>Un maillot avec du blanc dominant, un drapeau national visible (hors écusson) et une phrase ou une date écrite à l'intérieur du col (le petit détail caché).</t>
  </si>
  <si>
    <t>Un maillot avec du rouge dominant, de club français (PSG, OM, OL, Lens...) et à manches longues (ou porté avec un sous-maillot à manches longues en dessous).</t>
  </si>
  <si>
    <t>Un maillot avec du noir ou du gris foncé, de club étranger (Real Madrid, Barça, Juventus, Liverpool...) et "Édition spéciale" ou "Collector" (noir et or, collab mode type Jordan/PSG, Palace/Juventus).</t>
  </si>
  <si>
    <t>Un maillot avec une couleur "flashy" (jaune, orange, rose ou vert fluo), d'une sélection nationale (France, Italie, Portugal, Brésil...) et un sponsor écrit en gros caractères blancs sur le ventre.</t>
  </si>
  <si>
    <t>Un maillot avec des rayures verticales (type Juventus, Argentine, Milan AC...), floqué avec le numéro 10 et une marque de compagnie aérienne en sponsor (Emirates, Qatar Airways, Etihad...).</t>
  </si>
  <si>
    <t>Un maillot avec des motifs géométriques discrets dans le tissu, floqué avec le numéro 7 ou le numéro 9 et une marque de bière ou de site de paris en ligne en sponsor.</t>
  </si>
  <si>
    <t>Un maillot avec un col à boutons (type polo), un numéro à deux chiffres (ex: 23, 30, 99...) et un sponsor lié à l'automobile ou aux pneus (Jeep, Pirelli, Chevrolet...).</t>
  </si>
  <si>
    <t>Un maillot avec des manches d'une couleur différente du torse (style Arsenal/West Ham), un numéro impair dans le dos et des bandes ou liserés de couleur au bout des manches.</t>
  </si>
  <si>
    <t>Un maillot avec du bleu dominant, un nom de joueur qui commence par la lettre M, C ou R (Mbappé, Ronaldo, CR7, Messi...) et une phrase ou une date écrite à l'intérieur du col (le petit détail caché).</t>
  </si>
  <si>
    <t>Un maillot avec du blanc dominant, le nom d'un joueur qui ne joue plus aujourd'hui (Flocage rétro : Zidane, Henry, Ronaldinho, Beckham...) et à manches longues (ou porté avec un sous-maillot à manches longues en dessous).</t>
  </si>
  <si>
    <t>Un maillot avec du rouge dominant, sans aucun flocage dans le dos (dos totalement vierge) et "Édition spéciale" ou "Collector" (noir et or, collab mode type Jordan/PSG, Palace/Juventus).</t>
  </si>
  <si>
    <t>Un maillot avec du noir ou du gris foncé, dont le numéro est écrit en blanc ou en doré et un sponsor écrit en gros caractères blancs sur le ventre.</t>
  </si>
  <si>
    <t>Un maillot avec une couleur "flashy" (jaune, orange, rose ou vert fluo), floqué avec le numéro 10 et une marque de bière ou de site de paris en ligne en sponsor.</t>
  </si>
  <si>
    <t>Un maillot avec des rayures verticales (type Juventus, Argentine, Milan AC...), floqué avec le numéro 7 ou le numéro 9 et un sponsor lié à l'automobile ou aux pneus (Jeep, Pirelli, Chevrolet...).</t>
  </si>
  <si>
    <t>Un maillot avec des motifs géométriques discrets dans le tissu, un numéro à deux chiffres (ex: 23, 30, 99...) et des bandes ou liserés de couleur au bout des manches.</t>
  </si>
  <si>
    <t>Un maillot avec un col à boutons (type polo), un numéro impair dans le dos et une phrase ou une date écrite à l'intérieur du col (le petit détail caché).</t>
  </si>
  <si>
    <t>Un maillot avec des manches d'une couleur différente du torse (style Arsenal/West Ham), un nom de joueur qui commence par la lettre M, C ou R (Mbappé, Ronaldo, CR7, Messi...) et à manches longues (ou porté avec un sous-maillot à manches longues en dessous).</t>
  </si>
  <si>
    <t>Un maillot avec du bleu dominant, le nom d'un joueur qui ne joue plus aujourd'hui (Flocage rétro : Zidane, Henry, Ronaldinho, Beckham...) et "Édition spéciale" ou "Collector" (noir et or, collab mode type Jordan/PSG, Palace/Juventus).</t>
  </si>
  <si>
    <t>Un maillot avec du blanc dominant, sans aucun flocage dans le dos (dos totalement vierge) et un sponsor écrit en gros caractères blancs sur le ventre.</t>
  </si>
  <si>
    <t>Un maillot avec du rouge dominant, dont le numéro est écrit en blanc ou en doré et une marque de compagnie aérienne en sponsor (Emirates, Qatar Airways, Etihad...).</t>
  </si>
  <si>
    <t>Un maillot avec du noir ou du gris foncé, floqué avec le numéro 10 et un sponsor lié à l'automobile ou aux pneus (Jeep, Pirelli, Chevrolet...).</t>
  </si>
  <si>
    <t>Un maillot avec une couleur "flashy" (jaune, orange, rose ou vert fluo), floqué avec le numéro 7 ou le numéro 9 et des bandes ou liserés de couleur au bout des manches.</t>
  </si>
  <si>
    <t>Un maillot avec des rayures verticales (type Juventus, Argentine, Milan AC...), un numéro à deux chiffres (ex: 23, 30, 99...) et une phrase ou une date écrite à l'intérieur du col (le petit détail caché).</t>
  </si>
  <si>
    <t>Un maillot avec des motifs géométriques discrets dans le tissu, un numéro impair dans le dos et à manches longues (ou porté avec un sous-maillot à manches longues en dessous).</t>
  </si>
  <si>
    <t>Un maillot avec un col à boutons (type polo), un nom de joueur qui commence par la lettre M, C ou R (Mbappé, Ronaldo, CR7, Messi...) et "Édition spéciale" ou "Collector" (noir et or, collab mode type Jordan/PSG, Palace/Juventus).</t>
  </si>
  <si>
    <t>Un maillot avec des manches d'une couleur différente du torse (style Arsenal/West Ham), le nom d'un joueur qui ne joue plus aujourd'hui (Flocage rétro : Zidane, Henry, Ronaldinho, Beckham...) et un sponsor écrit en gros caractères blancs sur le ventre.</t>
  </si>
  <si>
    <t>Un maillot avec du bleu dominant, sans aucun flocage dans le dos (dos totalement vierge) et une marque de compagnie aérienne en sponsor (Emirates, Qatar Airways, Etihad...).</t>
  </si>
  <si>
    <t>Un maillot avec du blanc dominant, dont le numéro est écrit en blanc ou en doré et une marque de bière ou de site de paris en ligne en sponsor.</t>
  </si>
  <si>
    <t>Un maillot avec du rouge dominant, floqué avec le numéro 10 et des bandes ou liserés de couleur au bout des manches.</t>
  </si>
  <si>
    <t>Un maillot avec le logo Adidas (les 3 bandes ou le trèfle vintage), floqué avec le numéro 7 ou le numéro 9 et une phrase ou une date écrite à l'intérieur du col (le petit détail caché).</t>
  </si>
  <si>
    <t>Un maillot avec le logo Nike (la virgule), un numéro à deux chiffres (ex: 23, 30, 99...) et à manches longues (ou porté avec un sous-maillot à manches longues en dessous).</t>
  </si>
  <si>
    <t>Un maillot avec un autre équipementier que Nike ou Adidas (Puma, Kappa, Umbro, Hummel...), un numéro impair dans le dos et "Édition spéciale" ou "Collector" (noir et or, collab mode type Jordan/PSG, Palace/Juventus).</t>
  </si>
  <si>
    <t>Un maillot avec un écusson rond (type Manchester City, PSG, Chelsea...), un nom de joueur qui commence par la lettre M, C ou R (Mbappé, Ronaldo, CR7, Messi...) et un sponsor écrit en gros caractères blancs sur le ventre.</t>
  </si>
  <si>
    <t>Un maillot avec un animal sur l'écusson (coq, lion, aigle, loup...), le nom d'un joueur qui ne joue plus aujourd'hui (Flocage rétro : Zidane, Henry, Ronaldinho, Beckham...) et une marque de compagnie aérienne en sponsor (Emirates, Qatar Airways, Etihad...).</t>
  </si>
  <si>
    <t>Un maillot avec au moins une étoile au-dessus ou dans l'écusson (sélections ou club), sans aucun flocage dans le dos (dos totalement vierge) et une marque de bière ou de site de paris en ligne en sponsor.</t>
  </si>
  <si>
    <t>Un maillot avec un drapeau national visible (hors écusson), dont le numéro est écrit en blanc ou en doré et un sponsor lié à l'automobile ou aux pneus (Jeep, Pirelli, Chevrolet...).</t>
  </si>
  <si>
    <t>Un maillot de club français (PSG, OM, OL, Lens...), floqué avec le numéro 10 et des bandes ou liserés de couleur au bout des manches.</t>
  </si>
  <si>
    <t>Un maillot de club étranger (Real Madrid, Barça, Juventus, Liverpool...), floqué avec le numéro 7 ou le numéro 9 et une phrase ou une date écrite à l'intérieur du col (le petit détail caché).</t>
  </si>
  <si>
    <t>Un maillot d'une sélection nationale (France, Italie, Portugal, Brésil...), un numéro à deux chiffres (ex: 23, 30, 99...) et à manches longues (ou porté avec un sous-maillot à manches longues en dessous).</t>
  </si>
  <si>
    <t>Un maillot avec le logo Adidas (les 3 bandes ou le trèfle vintage), un numéro impair dans le dos et "Édition spéciale" ou "Collector" (noir et or, collab mode type Jordan/PSG, Palace/Juventus).</t>
  </si>
  <si>
    <t>Un maillot avec le logo Nike (la virgule), un nom de joueur qui commence par la lettre M, C ou R (Mbappé, Ronaldo, CR7, Messi...) et un sponsor écrit en gros caractères blancs sur le ventre.</t>
  </si>
  <si>
    <t>Un maillot avec un autre équipementier que Nike ou Adidas (Puma, Kappa, Umbro, Hummel...), le nom d'un joueur qui ne joue plus aujourd'hui (Flocage rétro : Zidane, Henry, Ronaldinho, Beckham...) et une marque de compagnie aérienne en sponsor (Emirates, Qatar Airways, Etihad...).</t>
  </si>
  <si>
    <t>Un maillot avec un écusson rond (type Manchester City, PSG, Chelsea...), sans aucun flocage dans le dos (dos totalement vierge) et une marque de bière ou de site de paris en ligne en sponsor.</t>
  </si>
  <si>
    <t>Un maillot avec un animal sur l'écusson (coq, lion, aigle, loup...), dont le numéro est écrit en blanc ou en doré et un sponsor lié à l'automobile ou aux pneus (Jeep, Pirelli, Chevrolet...).</t>
  </si>
  <si>
    <t>Un maillot avec au moins une étoile au-dessus ou dans l'écusson (sélections ou club), floqué avec le numéro 10 et des bandes ou liserés de couleur au bout des manches.</t>
  </si>
  <si>
    <t>Un maillot avec un drapeau national visible (hors écusson), floqué avec le numéro 7 ou le numéro 9 et une phrase ou une date écrite à l'intérieur du col (le petit détail caché).</t>
  </si>
  <si>
    <t>Un maillot de club français (PSG, OM, OL, Lens...), un numéro à deux chiffres (ex: 23, 30, 99...) et à manches longues (ou porté avec un sous-maillot à manches longues en dessous).</t>
  </si>
  <si>
    <t>Un maillot de club étranger (Real Madrid, Barça, Juventus, Liverpool...), un numéro impair dans le dos et "Édition spéciale" ou "Collector" (noir et or, collab mode type Jordan/PSG, Palace/Juventus).</t>
  </si>
  <si>
    <t>Un maillot d'une sélection nationale (France, Italie, Portugal, Brésil...), un nom de joueur qui commence par la lettre M, C ou R (Mbappé, Ronaldo, CR7, Messi...) et un sponsor écrit en gros caractères blancs sur le ventre.</t>
  </si>
  <si>
    <t>Un maillot avec le logo Adidas (les 3 bandes ou le trèfle vintage), le nom d'un joueur qui ne joue plus aujourd'hui (Flocage rétro : Zidane, Henry, Ronaldinho, Beckham...) et une marque de bière ou de site de paris en ligne en sponsor.</t>
  </si>
  <si>
    <t>Un maillot avec le logo Nike (la virgule), sans aucun flocage dans le dos (dos totalement vierge) et un sponsor lié à l'automobile ou aux pneus (Jeep, Pirelli, Chevrolet...).</t>
  </si>
  <si>
    <t>Un maillot avec un autre équipementier que Nike ou Adidas (Puma, Kappa, Umbro, Hummel...), dont le numéro est écrit en blanc ou en doré et des bandes ou liserés de couleur au bout des manches.</t>
  </si>
  <si>
    <t>Un maillot avec un écusson rond (type Manchester City, PSG, Chelsea...), floqué avec le numéro 10 et une phrase ou une date écrite à l'intérieur du col (le petit détail caché).</t>
  </si>
  <si>
    <t>Un maillot avec un animal sur l'écusson (coq, lion, aigle, loup...), floqué avec le numéro 7 ou le numéro 9 et à manches longues (ou porté avec un sous-maillot à manches longues en dessous).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</si>
</sst>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b/>
      <color theme="1"/>
      <name val="Calibri"/>
      <scheme val="minor"/>
    </font>
    <font>
      <sz val="10.0"/>
      <color theme="1"/>
      <name val="Arial"/>
    </font>
    <font>
      <color theme="1"/>
      <name val="Calibri"/>
      <scheme val="minor"/>
    </font>
    <font>
      <b/>
      <sz val="10.0"/>
      <color rgb="FF1F3864"/>
      <name val="Arial"/>
    </font>
  </fonts>
  <fills count="7">
    <fill>
      <patternFill patternType="none"/>
    </fill>
    <fill>
      <patternFill patternType="lightGray"/>
    </fill>
    <fill>
      <patternFill patternType="solid">
        <fgColor rgb="FF1F3864"/>
        <bgColor rgb="FF1F3864"/>
      </patternFill>
    </fill>
    <fill>
      <patternFill patternType="solid">
        <fgColor rgb="FF3B84DB"/>
        <bgColor rgb="FF3B84DB"/>
      </patternFill>
    </fill>
    <fill>
      <patternFill patternType="solid">
        <fgColor rgb="FFEBF0FA"/>
        <bgColor rgb="FFEBF0FA"/>
      </patternFill>
    </fill>
    <fill>
      <patternFill patternType="solid">
        <fgColor rgb="FFFFFFFF"/>
        <bgColor rgb="FFFFFFFF"/>
      </patternFill>
    </fill>
    <fill>
      <patternFill patternType="solid">
        <fgColor rgb="FFFFD966"/>
        <bgColor rgb="FFFFD966"/>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3" fontId="2" numFmtId="0" xfId="0" applyAlignment="1" applyFill="1" applyFont="1">
      <alignment readingOrder="0"/>
    </xf>
    <xf borderId="1" fillId="4" fontId="3" numFmtId="0" xfId="0" applyAlignment="1" applyBorder="1" applyFill="1" applyFont="1">
      <alignment horizontal="left" vertical="center"/>
    </xf>
    <xf borderId="1" fillId="4" fontId="3" numFmtId="0" xfId="0" applyAlignment="1" applyBorder="1" applyFont="1">
      <alignment horizontal="center" vertical="center"/>
    </xf>
    <xf borderId="0" fillId="3" fontId="4" numFmtId="0" xfId="0" applyAlignment="1" applyFont="1">
      <alignment readingOrder="0"/>
    </xf>
    <xf borderId="1" fillId="5" fontId="3" numFmtId="0" xfId="0" applyAlignment="1" applyBorder="1" applyFill="1" applyFont="1">
      <alignment horizontal="left" vertical="center"/>
    </xf>
    <xf borderId="1" fillId="5" fontId="3" numFmtId="0" xfId="0" applyAlignment="1" applyBorder="1" applyFont="1">
      <alignment horizontal="center" vertical="center"/>
    </xf>
    <xf borderId="1" fillId="6" fontId="5" numFmtId="0" xfId="0" applyAlignment="1" applyBorder="1" applyFill="1" applyFont="1">
      <alignment horizontal="left" vertical="center"/>
    </xf>
    <xf borderId="1" fillId="6" fontId="5" numFmtId="0" xfId="0" applyAlignment="1" applyBorder="1" applyFont="1">
      <alignment horizontal="center" vertical="center"/>
    </xf>
    <xf borderId="1" fillId="2" fontId="1" numFmtId="0" xfId="0" applyAlignment="1" applyBorder="1" applyFont="1">
      <alignment horizontal="center" vertical="center"/>
    </xf>
    <xf borderId="1" fillId="0" fontId="3" numFmtId="0" xfId="0" applyAlignment="1" applyBorder="1" applyFont="1">
      <alignment horizontal="center" readingOrder="0" vertical="center"/>
    </xf>
    <xf borderId="1" fillId="0" fontId="3" numFmtId="0" xfId="0" applyAlignment="1" applyBorder="1" applyFont="1">
      <alignment horizontal="left" readingOrder="0" shrinkToFit="0" vertical="center"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6.0"/>
    <col customWidth="1" min="3" max="3" width="13.86"/>
    <col customWidth="1" min="4" max="4" width="12.0"/>
    <col customWidth="1" min="5" max="5" width="42.43"/>
    <col customWidth="1" min="6" max="6" width="16.14"/>
    <col customWidth="1" min="7" max="26" width="8.71"/>
  </cols>
  <sheetData>
    <row r="1" ht="21.75" customHeight="1">
      <c r="A1" s="1" t="s">
        <v>0</v>
      </c>
      <c r="B1" s="1" t="s">
        <v>1</v>
      </c>
      <c r="C1" s="1" t="s">
        <v>2</v>
      </c>
      <c r="D1" s="1" t="s">
        <v>3</v>
      </c>
      <c r="E1" s="1" t="s">
        <v>4</v>
      </c>
      <c r="F1" s="2" t="s">
        <v>5</v>
      </c>
    </row>
    <row r="2">
      <c r="A2" s="3" t="s">
        <v>6</v>
      </c>
      <c r="B2" s="3" t="s">
        <v>7</v>
      </c>
      <c r="C2" s="4">
        <v>0.0</v>
      </c>
      <c r="D2" s="3"/>
      <c r="E2" s="3" t="str">
        <f t="array" ref="E2">IF(COUNTIF('Tirage du Mercato'!$D:$D, A2)=0, "⚠️ Clique sur le bouton pour piocher ta mission !", INDEX('Pool de missions'!$B$2:$B$101, MOD(COUNTIF('Tirage du Mercato'!$D:$D, A2) * 7 + ROW(A2), 100) + 1))</f>
        <v>⚠️ Clique sur le bouton pour piocher ta mission !</v>
      </c>
      <c r="F2" s="5" t="s">
        <v>8</v>
      </c>
    </row>
    <row r="3">
      <c r="A3" s="6" t="s">
        <v>9</v>
      </c>
      <c r="B3" s="6" t="s">
        <v>10</v>
      </c>
      <c r="C3" s="7">
        <v>0.0</v>
      </c>
      <c r="D3" s="6"/>
      <c r="E3" s="3" t="str">
        <f t="array" ref="E3">IF(COUNTIF('Tirage du Mercato'!$D:$D, A3)=0, "⚠️ Clique sur le bouton pour piocher ta mission !", INDEX('Pool de missions'!$B$2:$B$101, MOD(COUNTIF('Tirage du Mercato'!$D:$D, A3) * 7 + ROW(A3), 100) + 1))</f>
        <v>⚠️ Clique sur le bouton pour piocher ta mission !</v>
      </c>
      <c r="F3" s="5" t="s">
        <v>11</v>
      </c>
    </row>
    <row r="4">
      <c r="A4" s="3" t="s">
        <v>12</v>
      </c>
      <c r="B4" s="3" t="s">
        <v>13</v>
      </c>
      <c r="C4" s="4">
        <v>0.0</v>
      </c>
      <c r="D4" s="3"/>
      <c r="E4" s="3" t="str">
        <f t="array" ref="E4">IF(COUNTIF('Tirage du Mercato'!$D:$D, A4)=0, "⚠️ Clique sur le bouton pour piocher ta mission !", INDEX('Pool de missions'!$B$2:$B$101, MOD(COUNTIF('Tirage du Mercato'!$D:$D, A4) * 7 + ROW(A4), 100) + 1))</f>
        <v>⚠️ Clique sur le bouton pour piocher ta mission !</v>
      </c>
      <c r="F4" s="5" t="s">
        <v>14</v>
      </c>
    </row>
    <row r="5">
      <c r="A5" s="6" t="s">
        <v>15</v>
      </c>
      <c r="B5" s="6" t="s">
        <v>16</v>
      </c>
      <c r="C5" s="7">
        <v>0.0</v>
      </c>
      <c r="D5" s="6"/>
      <c r="E5" s="3" t="str">
        <f t="array" ref="E5">IF(COUNTIF('Tirage du Mercato'!$D:$D, A5)=0, "⚠️ Clique sur le bouton pour piocher ta mission !", INDEX('Pool de missions'!$B$2:$B$101, MOD(COUNTIF('Tirage du Mercato'!$D:$D, A5) * 7 + ROW(A5), 100) + 1))</f>
        <v>⚠️ Clique sur le bouton pour piocher ta mission !</v>
      </c>
      <c r="F5" s="5" t="s">
        <v>17</v>
      </c>
    </row>
    <row r="6">
      <c r="A6" s="3" t="s">
        <v>18</v>
      </c>
      <c r="B6" s="3" t="s">
        <v>19</v>
      </c>
      <c r="C6" s="4">
        <v>0.0</v>
      </c>
      <c r="D6" s="3"/>
      <c r="E6" s="3" t="str">
        <f t="array" ref="E6">IF(COUNTIF('Tirage du Mercato'!$D:$D, A6)=0, "⚠️ Clique sur le bouton pour piocher ta mission !", INDEX('Pool de missions'!$B$2:$B$101, MOD(COUNTIF('Tirage du Mercato'!$D:$D, A6) * 7 + ROW(A6), 100) + 1))</f>
        <v>⚠️ Clique sur le bouton pour piocher ta mission !</v>
      </c>
      <c r="F6" s="5" t="s">
        <v>20</v>
      </c>
    </row>
    <row r="7">
      <c r="A7" s="6" t="s">
        <v>21</v>
      </c>
      <c r="B7" s="6" t="s">
        <v>22</v>
      </c>
      <c r="C7" s="7">
        <v>0.0</v>
      </c>
      <c r="D7" s="6"/>
      <c r="E7" s="3" t="str">
        <f t="array" ref="E7">IF(COUNTIF('Tirage du Mercato'!$D:$D, A7)=0, "⚠️ Clique sur le bouton pour piocher ta mission !", INDEX('Pool de missions'!$B$2:$B$101, MOD(COUNTIF('Tirage du Mercato'!$D:$D, A7) * 7 + ROW(A7), 100) + 1))</f>
        <v>⚠️ Clique sur le bouton pour piocher ta mission !</v>
      </c>
      <c r="F7" s="5" t="s">
        <v>23</v>
      </c>
    </row>
    <row r="8">
      <c r="A8" s="3" t="s">
        <v>24</v>
      </c>
      <c r="B8" s="3" t="s">
        <v>25</v>
      </c>
      <c r="C8" s="4">
        <v>0.0</v>
      </c>
      <c r="D8" s="3"/>
      <c r="E8" s="3" t="str">
        <f t="array" ref="E8">IF(COUNTIF('Tirage du Mercato'!$D:$D, A8)=0, "⚠️ Clique sur le bouton pour piocher ta mission !", INDEX('Pool de missions'!$B$2:$B$101, MOD(COUNTIF('Tirage du Mercato'!$D:$D, A8) * 7 + ROW(A8), 100) + 1))</f>
        <v>⚠️ Clique sur le bouton pour piocher ta mission !</v>
      </c>
      <c r="F8" s="5" t="s">
        <v>26</v>
      </c>
    </row>
    <row r="9">
      <c r="A9" s="6" t="s">
        <v>27</v>
      </c>
      <c r="B9" s="6" t="s">
        <v>28</v>
      </c>
      <c r="C9" s="7">
        <v>0.0</v>
      </c>
      <c r="D9" s="6"/>
      <c r="E9" s="3" t="str">
        <f t="array" ref="E9">IF(COUNTIF('Tirage du Mercato'!$D:$D, A9)=0, "⚠️ Clique sur le bouton pour piocher ta mission !", INDEX('Pool de missions'!$B$2:$B$101, MOD(COUNTIF('Tirage du Mercato'!$D:$D, A9) * 7 + ROW(A9), 100) + 1))</f>
        <v>⚠️ Clique sur le bouton pour piocher ta mission !</v>
      </c>
      <c r="F9" s="5" t="s">
        <v>29</v>
      </c>
    </row>
    <row r="10">
      <c r="A10" s="3" t="s">
        <v>30</v>
      </c>
      <c r="B10" s="3" t="s">
        <v>31</v>
      </c>
      <c r="C10" s="4">
        <v>0.0</v>
      </c>
      <c r="D10" s="3"/>
      <c r="E10" s="3" t="str">
        <f t="array" ref="E10">IF(COUNTIF('Tirage du Mercato'!$D:$D, A10)=0, "⚠️ Clique sur le bouton pour piocher ta mission !", INDEX('Pool de missions'!$B$2:$B$101, MOD(COUNTIF('Tirage du Mercato'!$D:$D, A10) * 7 + ROW(A10), 100) + 1))</f>
        <v>⚠️ Clique sur le bouton pour piocher ta mission !</v>
      </c>
      <c r="F10" s="5" t="s">
        <v>32</v>
      </c>
    </row>
    <row r="11">
      <c r="A11" s="6" t="s">
        <v>33</v>
      </c>
      <c r="B11" s="6" t="s">
        <v>10</v>
      </c>
      <c r="C11" s="7">
        <v>0.0</v>
      </c>
      <c r="D11" s="6"/>
      <c r="E11" s="3" t="str">
        <f t="array" ref="E11">IF(COUNTIF('Tirage du Mercato'!$D:$D, A11)=0, "⚠️ Clique sur le bouton pour piocher ta mission !", INDEX('Pool de missions'!$B$2:$B$101, MOD(COUNTIF('Tirage du Mercato'!$D:$D, A11) * 7 + ROW(A11), 100) + 1))</f>
        <v>⚠️ Clique sur le bouton pour piocher ta mission !</v>
      </c>
      <c r="F11" s="5" t="s">
        <v>34</v>
      </c>
    </row>
    <row r="12">
      <c r="A12" s="3" t="s">
        <v>35</v>
      </c>
      <c r="B12" s="3" t="s">
        <v>36</v>
      </c>
      <c r="C12" s="4">
        <v>0.0</v>
      </c>
      <c r="D12" s="3"/>
      <c r="E12" s="3" t="str">
        <f t="array" ref="E12">IF(COUNTIF('Tirage du Mercato'!$D:$D, A12)=0, "⚠️ Clique sur le bouton pour piocher ta mission !", INDEX('Pool de missions'!$B$2:$B$101, MOD(COUNTIF('Tirage du Mercato'!$D:$D, A12) * 7 + ROW(A12), 100) + 1))</f>
        <v>⚠️ Clique sur le bouton pour piocher ta mission !</v>
      </c>
      <c r="F12" s="5" t="s">
        <v>37</v>
      </c>
    </row>
    <row r="13">
      <c r="A13" s="6" t="s">
        <v>38</v>
      </c>
      <c r="B13" s="6" t="s">
        <v>31</v>
      </c>
      <c r="C13" s="7">
        <v>0.0</v>
      </c>
      <c r="D13" s="6"/>
      <c r="E13" s="3" t="str">
        <f t="array" ref="E13">IF(COUNTIF('Tirage du Mercato'!$D:$D, A13)=0, "⚠️ Clique sur le bouton pour piocher ta mission !", INDEX('Pool de missions'!$B$2:$B$101, MOD(COUNTIF('Tirage du Mercato'!$D:$D, A13) * 7 + ROW(A13), 100) + 1))</f>
        <v>⚠️ Clique sur le bouton pour piocher ta mission !</v>
      </c>
      <c r="F13" s="5" t="s">
        <v>39</v>
      </c>
    </row>
    <row r="14">
      <c r="A14" s="3" t="s">
        <v>40</v>
      </c>
      <c r="B14" s="3" t="s">
        <v>41</v>
      </c>
      <c r="C14" s="4">
        <v>0.0</v>
      </c>
      <c r="D14" s="3"/>
      <c r="E14" s="3" t="str">
        <f t="array" ref="E14">IF(COUNTIF('Tirage du Mercato'!$D:$D, A14)=0, "⚠️ Clique sur le bouton pour piocher ta mission !", INDEX('Pool de missions'!$B$2:$B$101, MOD(COUNTIF('Tirage du Mercato'!$D:$D, A14) * 7 + ROW(A14), 100) + 1))</f>
        <v>⚠️ Clique sur le bouton pour piocher ta mission !</v>
      </c>
      <c r="F14" s="5" t="s">
        <v>42</v>
      </c>
    </row>
    <row r="15">
      <c r="A15" s="6" t="s">
        <v>43</v>
      </c>
      <c r="B15" s="6" t="s">
        <v>19</v>
      </c>
      <c r="C15" s="7">
        <v>0.0</v>
      </c>
      <c r="D15" s="6"/>
      <c r="E15" s="3" t="str">
        <f t="array" ref="E15">IF(COUNTIF('Tirage du Mercato'!$D:$D, A15)=0, "⚠️ Clique sur le bouton pour piocher ta mission !", INDEX('Pool de missions'!$B$2:$B$101, MOD(COUNTIF('Tirage du Mercato'!$D:$D, A15) * 7 + ROW(A15), 100) + 1))</f>
        <v>⚠️ Clique sur le bouton pour piocher ta mission !</v>
      </c>
      <c r="F15" s="5" t="s">
        <v>44</v>
      </c>
    </row>
    <row r="16">
      <c r="A16" s="3" t="s">
        <v>45</v>
      </c>
      <c r="B16" s="3" t="s">
        <v>46</v>
      </c>
      <c r="C16" s="4">
        <v>0.0</v>
      </c>
      <c r="D16" s="3"/>
      <c r="E16" s="3" t="str">
        <f t="array" ref="E16">IF(COUNTIF('Tirage du Mercato'!$D:$D, A16)=0, "⚠️ Clique sur le bouton pour piocher ta mission !", INDEX('Pool de missions'!$B$2:$B$101, MOD(COUNTIF('Tirage du Mercato'!$D:$D, A16) * 7 + ROW(A16), 100) + 1))</f>
        <v>⚠️ Clique sur le bouton pour piocher ta mission !</v>
      </c>
      <c r="F16" s="5" t="s">
        <v>47</v>
      </c>
    </row>
    <row r="17">
      <c r="A17" s="6" t="s">
        <v>48</v>
      </c>
      <c r="B17" s="6" t="s">
        <v>49</v>
      </c>
      <c r="C17" s="7">
        <v>0.0</v>
      </c>
      <c r="D17" s="6"/>
      <c r="E17" s="3" t="str">
        <f t="array" ref="E17">IF(COUNTIF('Tirage du Mercato'!$D:$D, A17)=0, "⚠️ Clique sur le bouton pour piocher ta mission !", INDEX('Pool de missions'!$B$2:$B$101, MOD(COUNTIF('Tirage du Mercato'!$D:$D, A17) * 7 + ROW(A17), 100) + 1))</f>
        <v>⚠️ Clique sur le bouton pour piocher ta mission !</v>
      </c>
      <c r="F17" s="5" t="s">
        <v>50</v>
      </c>
    </row>
    <row r="18">
      <c r="A18" s="3" t="s">
        <v>51</v>
      </c>
      <c r="B18" s="3" t="s">
        <v>52</v>
      </c>
      <c r="C18" s="4">
        <v>0.0</v>
      </c>
      <c r="D18" s="3"/>
      <c r="E18" s="3" t="str">
        <f t="array" ref="E18">IF(COUNTIF('Tirage du Mercato'!$D:$D, A18)=0, "⚠️ Clique sur le bouton pour piocher ta mission !", INDEX('Pool de missions'!$B$2:$B$101, MOD(COUNTIF('Tirage du Mercato'!$D:$D, A18) * 7 + ROW(A18), 100) + 1))</f>
        <v>⚠️ Clique sur le bouton pour piocher ta mission !</v>
      </c>
      <c r="F18" s="5" t="s">
        <v>53</v>
      </c>
    </row>
    <row r="19">
      <c r="A19" s="6" t="s">
        <v>54</v>
      </c>
      <c r="B19" s="6" t="s">
        <v>49</v>
      </c>
      <c r="C19" s="7">
        <v>0.0</v>
      </c>
      <c r="D19" s="6"/>
      <c r="E19" s="3" t="str">
        <f t="array" ref="E19">IF(COUNTIF('Tirage du Mercato'!$D:$D, A19)=0, "⚠️ Clique sur le bouton pour piocher ta mission !", INDEX('Pool de missions'!$B$2:$B$101, MOD(COUNTIF('Tirage du Mercato'!$D:$D, A19) * 7 + ROW(A19), 100) + 1))</f>
        <v>⚠️ Clique sur le bouton pour piocher ta mission !</v>
      </c>
      <c r="F19" s="5" t="s">
        <v>55</v>
      </c>
    </row>
    <row r="20">
      <c r="A20" s="3" t="s">
        <v>56</v>
      </c>
      <c r="B20" s="3" t="s">
        <v>57</v>
      </c>
      <c r="C20" s="4">
        <v>0.0</v>
      </c>
      <c r="D20" s="3"/>
      <c r="E20" s="3" t="str">
        <f t="array" ref="E20">IF(COUNTIF('Tirage du Mercato'!$D:$D, A20)=0, "⚠️ Clique sur le bouton pour piocher ta mission !", INDEX('Pool de missions'!$B$2:$B$101, MOD(COUNTIF('Tirage du Mercato'!$D:$D, A20) * 7 + ROW(A20), 100) + 1))</f>
        <v>⚠️ Clique sur le bouton pour piocher ta mission !</v>
      </c>
      <c r="F20" s="5" t="s">
        <v>58</v>
      </c>
    </row>
    <row r="21" ht="15.75" customHeight="1">
      <c r="A21" s="6" t="s">
        <v>59</v>
      </c>
      <c r="B21" s="6" t="s">
        <v>60</v>
      </c>
      <c r="C21" s="7">
        <v>0.0</v>
      </c>
      <c r="D21" s="6"/>
      <c r="E21" s="3" t="str">
        <f t="array" ref="E21">IF(COUNTIF('Tirage du Mercato'!$D:$D, A21)=0, "⚠️ Clique sur le bouton pour piocher ta mission !", INDEX('Pool de missions'!$B$2:$B$101, MOD(COUNTIF('Tirage du Mercato'!$D:$D, A21) * 7 + ROW(A21), 100) + 1))</f>
        <v>⚠️ Clique sur le bouton pour piocher ta mission !</v>
      </c>
      <c r="F21" s="5" t="s">
        <v>61</v>
      </c>
    </row>
    <row r="22" ht="15.75" customHeight="1">
      <c r="A22" s="3" t="s">
        <v>62</v>
      </c>
      <c r="B22" s="3" t="s">
        <v>36</v>
      </c>
      <c r="C22" s="4">
        <v>0.0</v>
      </c>
      <c r="D22" s="3"/>
      <c r="E22" s="3" t="str">
        <f t="array" ref="E22">IF(COUNTIF('Tirage du Mercato'!$D:$D, A22)=0, "⚠️ Clique sur le bouton pour piocher ta mission !", INDEX('Pool de missions'!$B$2:$B$101, MOD(COUNTIF('Tirage du Mercato'!$D:$D, A22) * 7 + ROW(A22), 100) + 1))</f>
        <v>⚠️ Clique sur le bouton pour piocher ta mission !</v>
      </c>
      <c r="F22" s="5" t="s">
        <v>63</v>
      </c>
    </row>
    <row r="23" ht="15.75" customHeight="1">
      <c r="A23" s="6" t="s">
        <v>64</v>
      </c>
      <c r="B23" s="6" t="s">
        <v>16</v>
      </c>
      <c r="C23" s="7">
        <v>0.0</v>
      </c>
      <c r="D23" s="6"/>
      <c r="E23" s="3" t="str">
        <f t="array" ref="E23">IF(COUNTIF('Tirage du Mercato'!$D:$D, A23)=0, "⚠️ Clique sur le bouton pour piocher ta mission !", INDEX('Pool de missions'!$B$2:$B$101, MOD(COUNTIF('Tirage du Mercato'!$D:$D, A23) * 7 + ROW(A23), 100) + 1))</f>
        <v>⚠️ Clique sur le bouton pour piocher ta mission !</v>
      </c>
      <c r="F23" s="5" t="s">
        <v>65</v>
      </c>
    </row>
    <row r="24" ht="15.75" customHeight="1">
      <c r="A24" s="3" t="s">
        <v>66</v>
      </c>
      <c r="B24" s="3" t="s">
        <v>67</v>
      </c>
      <c r="C24" s="4">
        <v>0.0</v>
      </c>
      <c r="D24" s="3"/>
      <c r="E24" s="3" t="str">
        <f t="array" ref="E24">IF(COUNTIF('Tirage du Mercato'!$D:$D, A24)=0, "⚠️ Clique sur le bouton pour piocher ta mission !", INDEX('Pool de missions'!$B$2:$B$101, MOD(COUNTIF('Tirage du Mercato'!$D:$D, A24) * 7 + ROW(A24), 100) + 1))</f>
        <v>⚠️ Clique sur le bouton pour piocher ta mission !</v>
      </c>
      <c r="F24" s="5" t="s">
        <v>68</v>
      </c>
    </row>
    <row r="25" ht="15.75" customHeight="1">
      <c r="A25" s="6" t="s">
        <v>69</v>
      </c>
      <c r="B25" s="6" t="s">
        <v>7</v>
      </c>
      <c r="C25" s="7">
        <v>0.0</v>
      </c>
      <c r="D25" s="6"/>
      <c r="E25" s="3" t="str">
        <f t="array" ref="E25">IF(COUNTIF('Tirage du Mercato'!$D:$D, A25)=0, "⚠️ Clique sur le bouton pour piocher ta mission !", INDEX('Pool de missions'!$B$2:$B$101, MOD(COUNTIF('Tirage du Mercato'!$D:$D, A25) * 7 + ROW(A25), 100) + 1))</f>
        <v>⚠️ Clique sur le bouton pour piocher ta mission !</v>
      </c>
      <c r="F25" s="5" t="s">
        <v>70</v>
      </c>
    </row>
    <row r="26" ht="15.75" customHeight="1">
      <c r="A26" s="3" t="s">
        <v>71</v>
      </c>
      <c r="B26" s="3" t="s">
        <v>72</v>
      </c>
      <c r="C26" s="4">
        <v>0.0</v>
      </c>
      <c r="D26" s="3"/>
      <c r="E26" s="3" t="str">
        <f t="array" ref="E26">IF(COUNTIF('Tirage du Mercato'!$D:$D, A26)=0, "⚠️ Clique sur le bouton pour piocher ta mission !", INDEX('Pool de missions'!$B$2:$B$101, MOD(COUNTIF('Tirage du Mercato'!$D:$D, A26) * 7 + ROW(A26), 100) + 1))</f>
        <v>⚠️ Clique sur le bouton pour piocher ta mission !</v>
      </c>
      <c r="F26" s="5" t="s">
        <v>73</v>
      </c>
    </row>
    <row r="27" ht="15.75" customHeight="1">
      <c r="A27" s="6" t="s">
        <v>74</v>
      </c>
      <c r="B27" s="6" t="s">
        <v>75</v>
      </c>
      <c r="C27" s="7">
        <v>0.0</v>
      </c>
      <c r="D27" s="6"/>
      <c r="E27" s="3" t="str">
        <f t="array" ref="E27">IF(COUNTIF('Tirage du Mercato'!$D:$D, A27)=0, "⚠️ Clique sur le bouton pour piocher ta mission !", INDEX('Pool de missions'!$B$2:$B$101, MOD(COUNTIF('Tirage du Mercato'!$D:$D, A27) * 7 + ROW(A27), 100) + 1))</f>
        <v>⚠️ Clique sur le bouton pour piocher ta mission !</v>
      </c>
      <c r="F27" s="5" t="s">
        <v>76</v>
      </c>
    </row>
    <row r="28" ht="15.75" customHeight="1">
      <c r="A28" s="3" t="s">
        <v>77</v>
      </c>
      <c r="B28" s="3" t="s">
        <v>19</v>
      </c>
      <c r="C28" s="4">
        <v>0.0</v>
      </c>
      <c r="D28" s="3"/>
      <c r="E28" s="3" t="str">
        <f t="array" ref="E28">IF(COUNTIF('Tirage du Mercato'!$D:$D, A28)=0, "⚠️ Clique sur le bouton pour piocher ta mission !", INDEX('Pool de missions'!$B$2:$B$101, MOD(COUNTIF('Tirage du Mercato'!$D:$D, A28) * 7 + ROW(A28), 100) + 1))</f>
        <v>⚠️ Clique sur le bouton pour piocher ta mission !</v>
      </c>
      <c r="F28" s="5" t="s">
        <v>78</v>
      </c>
    </row>
    <row r="29" ht="15.75" customHeight="1">
      <c r="A29" s="6" t="s">
        <v>79</v>
      </c>
      <c r="B29" s="6" t="s">
        <v>80</v>
      </c>
      <c r="C29" s="7">
        <v>0.0</v>
      </c>
      <c r="D29" s="6"/>
      <c r="E29" s="3" t="str">
        <f t="array" ref="E29">IF(COUNTIF('Tirage du Mercato'!$D:$D, A29)=0, "⚠️ Clique sur le bouton pour piocher ta mission !", INDEX('Pool de missions'!$B$2:$B$101, MOD(COUNTIF('Tirage du Mercato'!$D:$D, A29) * 7 + ROW(A29), 100) + 1))</f>
        <v>⚠️ Clique sur le bouton pour piocher ta mission !</v>
      </c>
      <c r="F29" s="5" t="s">
        <v>81</v>
      </c>
    </row>
    <row r="30" ht="15.75" customHeight="1">
      <c r="A30" s="3" t="s">
        <v>82</v>
      </c>
      <c r="B30" s="3" t="s">
        <v>83</v>
      </c>
      <c r="C30" s="4">
        <v>0.0</v>
      </c>
      <c r="D30" s="3"/>
      <c r="E30" s="3" t="str">
        <f t="array" ref="E30">IF(COUNTIF('Tirage du Mercato'!$D:$D, A30)=0, "⚠️ Clique sur le bouton pour piocher ta mission !", INDEX('Pool de missions'!$B$2:$B$101, MOD(COUNTIF('Tirage du Mercato'!$D:$D, A30) * 7 + ROW(A30), 100) + 1))</f>
        <v>⚠️ Clique sur le bouton pour piocher ta mission !</v>
      </c>
      <c r="F30" s="5" t="s">
        <v>84</v>
      </c>
    </row>
    <row r="31" ht="15.75" customHeight="1">
      <c r="A31" s="6" t="s">
        <v>85</v>
      </c>
      <c r="B31" s="6" t="s">
        <v>80</v>
      </c>
      <c r="C31" s="7">
        <v>0.0</v>
      </c>
      <c r="D31" s="6"/>
      <c r="E31" s="3" t="str">
        <f t="array" ref="E31">IF(COUNTIF('Tirage du Mercato'!$D:$D, A31)=0, "⚠️ Clique sur le bouton pour piocher ta mission !", INDEX('Pool de missions'!$B$2:$B$101, MOD(COUNTIF('Tirage du Mercato'!$D:$D, A31) * 7 + ROW(A31), 100) + 1))</f>
        <v>⚠️ Clique sur le bouton pour piocher ta mission !</v>
      </c>
      <c r="F31" s="5" t="s">
        <v>86</v>
      </c>
    </row>
    <row r="32" ht="15.75" customHeight="1">
      <c r="A32" s="3" t="s">
        <v>87</v>
      </c>
      <c r="B32" s="3" t="s">
        <v>16</v>
      </c>
      <c r="C32" s="4">
        <v>0.0</v>
      </c>
      <c r="D32" s="3"/>
      <c r="E32" s="3" t="str">
        <f t="array" ref="E32">IF(COUNTIF('Tirage du Mercato'!$D:$D, A32)=0, "⚠️ Clique sur le bouton pour piocher ta mission !", INDEX('Pool de missions'!$B$2:$B$101, MOD(COUNTIF('Tirage du Mercato'!$D:$D, A32) * 7 + ROW(A32), 100) + 1))</f>
        <v>⚠️ Clique sur le bouton pour piocher ta mission !</v>
      </c>
      <c r="F32" s="5" t="s">
        <v>88</v>
      </c>
    </row>
    <row r="33" ht="15.75" customHeight="1">
      <c r="A33" s="6" t="s">
        <v>89</v>
      </c>
      <c r="B33" s="6"/>
      <c r="C33" s="7">
        <v>0.0</v>
      </c>
      <c r="D33" s="6"/>
      <c r="E33" s="3" t="str">
        <f t="array" ref="E33">IF(COUNTIF('Tirage du Mercato'!$D:$D, A33)=0, "⚠️ Clique sur le bouton pour piocher ta mission !", INDEX('Pool de missions'!$B$2:$B$101, MOD(COUNTIF('Tirage du Mercato'!$D:$D, A33) * 7 + ROW(A33), 100) + 1))</f>
        <v>⚠️ Clique sur le bouton pour piocher ta mission !</v>
      </c>
      <c r="F33" s="5" t="s">
        <v>90</v>
      </c>
    </row>
    <row r="34" ht="15.75" customHeight="1">
      <c r="A34" s="3" t="s">
        <v>91</v>
      </c>
      <c r="B34" s="3" t="s">
        <v>16</v>
      </c>
      <c r="C34" s="4">
        <v>0.0</v>
      </c>
      <c r="D34" s="3"/>
      <c r="E34" s="3" t="str">
        <f t="array" ref="E34">IF(COUNTIF('Tirage du Mercato'!$D:$D, A34)=0, "⚠️ Clique sur le bouton pour piocher ta mission !", INDEX('Pool de missions'!$B$2:$B$101, MOD(COUNTIF('Tirage du Mercato'!$D:$D, A34) * 7 + ROW(A34), 100) + 1))</f>
        <v>⚠️ Clique sur le bouton pour piocher ta mission !</v>
      </c>
      <c r="F34" s="5" t="s">
        <v>92</v>
      </c>
    </row>
    <row r="35" ht="15.75" customHeight="1">
      <c r="A35" s="6" t="s">
        <v>93</v>
      </c>
      <c r="B35" s="6" t="s">
        <v>94</v>
      </c>
      <c r="C35" s="7">
        <v>0.0</v>
      </c>
      <c r="D35" s="6"/>
      <c r="E35" s="3" t="str">
        <f t="array" ref="E35">IF(COUNTIF('Tirage du Mercato'!$D:$D, A35)=0, "⚠️ Clique sur le bouton pour piocher ta mission !", INDEX('Pool de missions'!$B$2:$B$101, MOD(COUNTIF('Tirage du Mercato'!$D:$D, A35) * 7 + ROW(A35), 100) + 1))</f>
        <v>⚠️ Clique sur le bouton pour piocher ta mission !</v>
      </c>
      <c r="F35" s="5" t="s">
        <v>95</v>
      </c>
    </row>
    <row r="36" ht="15.75" customHeight="1">
      <c r="A36" s="3" t="s">
        <v>96</v>
      </c>
      <c r="B36" s="3" t="s">
        <v>97</v>
      </c>
      <c r="C36" s="4">
        <v>0.0</v>
      </c>
      <c r="D36" s="3"/>
      <c r="E36" s="3" t="str">
        <f t="array" ref="E36">IF(COUNTIF('Tirage du Mercato'!$D:$D, A36)=0, "⚠️ Clique sur le bouton pour piocher ta mission !", INDEX('Pool de missions'!$B$2:$B$101, MOD(COUNTIF('Tirage du Mercato'!$D:$D, A36) * 7 + ROW(A36), 100) + 1))</f>
        <v>⚠️ Clique sur le bouton pour piocher ta mission !</v>
      </c>
      <c r="F36" s="5" t="s">
        <v>98</v>
      </c>
    </row>
    <row r="37" ht="15.75" customHeight="1">
      <c r="A37" s="6" t="s">
        <v>99</v>
      </c>
      <c r="B37" s="6" t="s">
        <v>100</v>
      </c>
      <c r="C37" s="7">
        <v>0.0</v>
      </c>
      <c r="D37" s="6"/>
      <c r="E37" s="3" t="str">
        <f t="array" ref="E37">IF(COUNTIF('Tirage du Mercato'!$D:$D, A37)=0, "⚠️ Clique sur le bouton pour piocher ta mission !", INDEX('Pool de missions'!$B$2:$B$101, MOD(COUNTIF('Tirage du Mercato'!$D:$D, A37) * 7 + ROW(A37), 100) + 1))</f>
        <v>⚠️ Clique sur le bouton pour piocher ta mission !</v>
      </c>
      <c r="F37" s="5" t="s">
        <v>101</v>
      </c>
    </row>
    <row r="38" ht="15.75" customHeight="1">
      <c r="A38" s="3" t="s">
        <v>102</v>
      </c>
      <c r="B38" s="3" t="s">
        <v>103</v>
      </c>
      <c r="C38" s="4">
        <v>0.0</v>
      </c>
      <c r="D38" s="3"/>
      <c r="E38" s="3" t="str">
        <f t="array" ref="E38">IF(COUNTIF('Tirage du Mercato'!$D:$D, A38)=0, "⚠️ Clique sur le bouton pour piocher ta mission !", INDEX('Pool de missions'!$B$2:$B$101, MOD(COUNTIF('Tirage du Mercato'!$D:$D, A38) * 7 + ROW(A38), 100) + 1))</f>
        <v>⚠️ Clique sur le bouton pour piocher ta mission !</v>
      </c>
      <c r="F38" s="5" t="s">
        <v>104</v>
      </c>
    </row>
    <row r="39" ht="15.75" customHeight="1">
      <c r="A39" s="6" t="s">
        <v>105</v>
      </c>
      <c r="B39" s="6" t="s">
        <v>100</v>
      </c>
      <c r="C39" s="7">
        <v>0.0</v>
      </c>
      <c r="D39" s="6"/>
      <c r="E39" s="3" t="str">
        <f t="array" ref="E39">IF(COUNTIF('Tirage du Mercato'!$D:$D, A39)=0, "⚠️ Clique sur le bouton pour piocher ta mission !", INDEX('Pool de missions'!$B$2:$B$101, MOD(COUNTIF('Tirage du Mercato'!$D:$D, A39) * 7 + ROW(A39), 100) + 1))</f>
        <v>⚠️ Clique sur le bouton pour piocher ta mission !</v>
      </c>
      <c r="F39" s="5" t="s">
        <v>106</v>
      </c>
    </row>
    <row r="40" ht="15.75" customHeight="1">
      <c r="A40" s="3" t="s">
        <v>107</v>
      </c>
      <c r="B40" s="3" t="s">
        <v>83</v>
      </c>
      <c r="C40" s="4">
        <v>0.0</v>
      </c>
      <c r="D40" s="3"/>
      <c r="E40" s="3" t="str">
        <f t="array" ref="E40">IF(COUNTIF('Tirage du Mercato'!$D:$D, A40)=0, "⚠️ Clique sur le bouton pour piocher ta mission !", INDEX('Pool de missions'!$B$2:$B$101, MOD(COUNTIF('Tirage du Mercato'!$D:$D, A40) * 7 + ROW(A40), 100) + 1))</f>
        <v>⚠️ Clique sur le bouton pour piocher ta mission !</v>
      </c>
      <c r="F40" s="5" t="s">
        <v>108</v>
      </c>
    </row>
    <row r="41" ht="15.75" customHeight="1">
      <c r="A41" s="6" t="s">
        <v>109</v>
      </c>
      <c r="B41" s="6" t="s">
        <v>16</v>
      </c>
      <c r="C41" s="7">
        <v>0.0</v>
      </c>
      <c r="D41" s="6"/>
      <c r="E41" s="3" t="str">
        <f t="array" ref="E41">IF(COUNTIF('Tirage du Mercato'!$D:$D, A41)=0, "⚠️ Clique sur le bouton pour piocher ta mission !", INDEX('Pool de missions'!$B$2:$B$101, MOD(COUNTIF('Tirage du Mercato'!$D:$D, A41) * 7 + ROW(A41), 100) + 1))</f>
        <v>⚠️ Clique sur le bouton pour piocher ta mission !</v>
      </c>
      <c r="F41" s="5" t="s">
        <v>110</v>
      </c>
    </row>
    <row r="42" ht="15.75" customHeight="1">
      <c r="A42" s="3" t="s">
        <v>111</v>
      </c>
      <c r="B42" s="3" t="s">
        <v>25</v>
      </c>
      <c r="C42" s="4">
        <v>0.0</v>
      </c>
      <c r="D42" s="3"/>
      <c r="E42" s="3" t="str">
        <f t="array" ref="E42">IF(COUNTIF('Tirage du Mercato'!$D:$D, A42)=0, "⚠️ Clique sur le bouton pour piocher ta mission !", INDEX('Pool de missions'!$B$2:$B$101, MOD(COUNTIF('Tirage du Mercato'!$D:$D, A42) * 7 + ROW(A42), 100) + 1))</f>
        <v>⚠️ Clique sur le bouton pour piocher ta mission !</v>
      </c>
      <c r="F42" s="5" t="s">
        <v>112</v>
      </c>
    </row>
    <row r="43" ht="15.75" customHeight="1">
      <c r="A43" s="6" t="s">
        <v>113</v>
      </c>
      <c r="B43" s="6" t="s">
        <v>19</v>
      </c>
      <c r="C43" s="7">
        <v>0.0</v>
      </c>
      <c r="D43" s="6"/>
      <c r="E43" s="3" t="str">
        <f t="array" ref="E43">IF(COUNTIF('Tirage du Mercato'!$D:$D, A43)=0, "⚠️ Clique sur le bouton pour piocher ta mission !", INDEX('Pool de missions'!$B$2:$B$101, MOD(COUNTIF('Tirage du Mercato'!$D:$D, A43) * 7 + ROW(A43), 100) + 1))</f>
        <v>⚠️ Clique sur le bouton pour piocher ta mission !</v>
      </c>
      <c r="F43" s="5" t="s">
        <v>114</v>
      </c>
    </row>
    <row r="44" ht="15.75" customHeight="1">
      <c r="A44" s="3" t="s">
        <v>115</v>
      </c>
      <c r="B44" s="3" t="s">
        <v>116</v>
      </c>
      <c r="C44" s="4">
        <v>0.0</v>
      </c>
      <c r="D44" s="3"/>
      <c r="E44" s="3" t="str">
        <f t="array" ref="E44">IF(COUNTIF('Tirage du Mercato'!$D:$D, A44)=0, "⚠️ Clique sur le bouton pour piocher ta mission !", INDEX('Pool de missions'!$B$2:$B$101, MOD(COUNTIF('Tirage du Mercato'!$D:$D, A44) * 7 + ROW(A44), 100) + 1))</f>
        <v>⚠️ Clique sur le bouton pour piocher ta mission !</v>
      </c>
      <c r="F44" s="5" t="s">
        <v>117</v>
      </c>
    </row>
    <row r="45" ht="15.75" customHeight="1">
      <c r="A45" s="6" t="s">
        <v>118</v>
      </c>
      <c r="B45" s="6" t="s">
        <v>41</v>
      </c>
      <c r="C45" s="7">
        <v>0.0</v>
      </c>
      <c r="D45" s="6"/>
      <c r="E45" s="3" t="str">
        <f t="array" ref="E45">IF(COUNTIF('Tirage du Mercato'!$D:$D, A45)=0, "⚠️ Clique sur le bouton pour piocher ta mission !", INDEX('Pool de missions'!$B$2:$B$101, MOD(COUNTIF('Tirage du Mercato'!$D:$D, A45) * 7 + ROW(A45), 100) + 1))</f>
        <v>⚠️ Clique sur le bouton pour piocher ta mission !</v>
      </c>
      <c r="F45" s="5" t="s">
        <v>119</v>
      </c>
    </row>
    <row r="46" ht="15.75" customHeight="1">
      <c r="A46" s="3" t="s">
        <v>120</v>
      </c>
      <c r="B46" s="3" t="s">
        <v>121</v>
      </c>
      <c r="C46" s="4">
        <v>0.0</v>
      </c>
      <c r="D46" s="3"/>
      <c r="E46" s="3" t="str">
        <f t="array" ref="E46">IF(COUNTIF('Tirage du Mercato'!$D:$D, A46)=0, "⚠️ Clique sur le bouton pour piocher ta mission !", INDEX('Pool de missions'!$B$2:$B$101, MOD(COUNTIF('Tirage du Mercato'!$D:$D, A46) * 7 + ROW(A46), 100) + 1))</f>
        <v>⚠️ Clique sur le bouton pour piocher ta mission !</v>
      </c>
      <c r="F46" s="5" t="s">
        <v>122</v>
      </c>
    </row>
    <row r="47" ht="15.75" customHeight="1">
      <c r="A47" s="6" t="s">
        <v>123</v>
      </c>
      <c r="B47" s="6" t="s">
        <v>124</v>
      </c>
      <c r="C47" s="7">
        <v>0.0</v>
      </c>
      <c r="D47" s="6"/>
      <c r="E47" s="3" t="str">
        <f t="array" ref="E47">IF(COUNTIF('Tirage du Mercato'!$D:$D, A47)=0, "⚠️ Clique sur le bouton pour piocher ta mission !", INDEX('Pool de missions'!$B$2:$B$101, MOD(COUNTIF('Tirage du Mercato'!$D:$D, A47) * 7 + ROW(A47), 100) + 1))</f>
        <v>⚠️ Clique sur le bouton pour piocher ta mission !</v>
      </c>
      <c r="F47" s="5" t="s">
        <v>125</v>
      </c>
    </row>
    <row r="48" ht="15.75" customHeight="1">
      <c r="A48" s="3" t="s">
        <v>126</v>
      </c>
      <c r="B48" s="3" t="s">
        <v>100</v>
      </c>
      <c r="C48" s="4">
        <v>0.0</v>
      </c>
      <c r="D48" s="3"/>
      <c r="E48" s="3" t="str">
        <f t="array" ref="E48">IF(COUNTIF('Tirage du Mercato'!$D:$D, A48)=0, "⚠️ Clique sur le bouton pour piocher ta mission !", INDEX('Pool de missions'!$B$2:$B$101, MOD(COUNTIF('Tirage du Mercato'!$D:$D, A48) * 7 + ROW(A48), 100) + 1))</f>
        <v>⚠️ Clique sur le bouton pour piocher ta mission !</v>
      </c>
      <c r="F48" s="5" t="s">
        <v>127</v>
      </c>
    </row>
    <row r="49" ht="15.75" customHeight="1">
      <c r="A49" s="6" t="s">
        <v>128</v>
      </c>
      <c r="B49" s="6" t="s">
        <v>19</v>
      </c>
      <c r="C49" s="7">
        <v>0.0</v>
      </c>
      <c r="D49" s="6"/>
      <c r="E49" s="3" t="str">
        <f t="array" ref="E49">IF(COUNTIF('Tirage du Mercato'!$D:$D, A49)=0, "⚠️ Clique sur le bouton pour piocher ta mission !", INDEX('Pool de missions'!$B$2:$B$101, MOD(COUNTIF('Tirage du Mercato'!$D:$D, A49) * 7 + ROW(A49), 100) + 1))</f>
        <v>⚠️ Clique sur le bouton pour piocher ta mission !</v>
      </c>
      <c r="F49" s="5" t="s">
        <v>129</v>
      </c>
    </row>
    <row r="50" ht="15.75" customHeight="1">
      <c r="A50" s="3" t="s">
        <v>130</v>
      </c>
      <c r="B50" s="3" t="s">
        <v>116</v>
      </c>
      <c r="C50" s="4">
        <v>0.0</v>
      </c>
      <c r="D50" s="3"/>
      <c r="E50" s="3" t="str">
        <f t="array" ref="E50">IF(COUNTIF('Tirage du Mercato'!$D:$D, A50)=0, "⚠️ Clique sur le bouton pour piocher ta mission !", INDEX('Pool de missions'!$B$2:$B$101, MOD(COUNTIF('Tirage du Mercato'!$D:$D, A50) * 7 + ROW(A50), 100) + 1))</f>
        <v>⚠️ Clique sur le bouton pour piocher ta mission !</v>
      </c>
      <c r="F50" s="5" t="s">
        <v>131</v>
      </c>
    </row>
    <row r="51" ht="15.75" customHeight="1">
      <c r="A51" s="6" t="s">
        <v>132</v>
      </c>
      <c r="B51" s="6" t="s">
        <v>103</v>
      </c>
      <c r="C51" s="7">
        <v>0.0</v>
      </c>
      <c r="D51" s="6"/>
      <c r="E51" s="3" t="str">
        <f t="array" ref="E51">IF(COUNTIF('Tirage du Mercato'!$D:$D, A51)=0, "⚠️ Clique sur le bouton pour piocher ta mission !", INDEX('Pool de missions'!$B$2:$B$101, MOD(COUNTIF('Tirage du Mercato'!$D:$D, A51) * 7 + ROW(A51), 100) + 1))</f>
        <v>⚠️ Clique sur le bouton pour piocher ta mission !</v>
      </c>
      <c r="F51" s="5" t="s">
        <v>133</v>
      </c>
    </row>
    <row r="52" ht="15.75" customHeight="1">
      <c r="A52" s="3" t="s">
        <v>134</v>
      </c>
      <c r="B52" s="3" t="s">
        <v>52</v>
      </c>
      <c r="C52" s="4">
        <v>0.0</v>
      </c>
      <c r="D52" s="3"/>
      <c r="E52" s="3" t="str">
        <f t="array" ref="E52">IF(COUNTIF('Tirage du Mercato'!$D:$D, A52)=0, "⚠️ Clique sur le bouton pour piocher ta mission !", INDEX('Pool de missions'!$B$2:$B$101, MOD(COUNTIF('Tirage du Mercato'!$D:$D, A52) * 7 + ROW(A52), 100) + 1))</f>
        <v>⚠️ Clique sur le bouton pour piocher ta mission !</v>
      </c>
      <c r="F52" s="5" t="s">
        <v>135</v>
      </c>
    </row>
    <row r="53" ht="15.75" customHeight="1">
      <c r="A53" s="6" t="s">
        <v>136</v>
      </c>
      <c r="B53" s="6" t="s">
        <v>137</v>
      </c>
      <c r="C53" s="7">
        <v>0.0</v>
      </c>
      <c r="D53" s="6"/>
      <c r="E53" s="3" t="str">
        <f t="array" ref="E53">IF(COUNTIF('Tirage du Mercato'!$D:$D, A53)=0, "⚠️ Clique sur le bouton pour piocher ta mission !", INDEX('Pool de missions'!$B$2:$B$101, MOD(COUNTIF('Tirage du Mercato'!$D:$D, A53) * 7 + ROW(A53), 100) + 1))</f>
        <v>⚠️ Clique sur le bouton pour piocher ta mission !</v>
      </c>
      <c r="F53" s="5" t="s">
        <v>138</v>
      </c>
    </row>
    <row r="54" ht="15.75" customHeight="1">
      <c r="A54" s="3" t="s">
        <v>139</v>
      </c>
      <c r="B54" s="3" t="s">
        <v>16</v>
      </c>
      <c r="C54" s="4">
        <v>0.0</v>
      </c>
      <c r="D54" s="3"/>
      <c r="E54" s="3" t="str">
        <f t="array" ref="E54">IF(COUNTIF('Tirage du Mercato'!$D:$D, A54)=0, "⚠️ Clique sur le bouton pour piocher ta mission !", INDEX('Pool de missions'!$B$2:$B$101, MOD(COUNTIF('Tirage du Mercato'!$D:$D, A54) * 7 + ROW(A54), 100) + 1))</f>
        <v>⚠️ Clique sur le bouton pour piocher ta mission !</v>
      </c>
      <c r="F54" s="5" t="s">
        <v>140</v>
      </c>
    </row>
    <row r="55" ht="15.75" customHeight="1">
      <c r="A55" s="6" t="s">
        <v>141</v>
      </c>
      <c r="B55" s="6" t="s">
        <v>103</v>
      </c>
      <c r="C55" s="7">
        <v>0.0</v>
      </c>
      <c r="D55" s="6"/>
      <c r="E55" s="3" t="str">
        <f t="array" ref="E55">IF(COUNTIF('Tirage du Mercato'!$D:$D, A55)=0, "⚠️ Clique sur le bouton pour piocher ta mission !", INDEX('Pool de missions'!$B$2:$B$101, MOD(COUNTIF('Tirage du Mercato'!$D:$D, A55) * 7 + ROW(A55), 100) + 1))</f>
        <v>⚠️ Clique sur le bouton pour piocher ta mission !</v>
      </c>
      <c r="F55" s="5" t="s">
        <v>142</v>
      </c>
    </row>
    <row r="56" ht="15.75" customHeight="1">
      <c r="A56" s="3" t="s">
        <v>143</v>
      </c>
      <c r="B56" s="3" t="s">
        <v>144</v>
      </c>
      <c r="C56" s="4">
        <v>0.0</v>
      </c>
      <c r="D56" s="3"/>
      <c r="E56" s="3" t="str">
        <f t="array" ref="E56">IF(COUNTIF('Tirage du Mercato'!$D:$D, A56)=0, "⚠️ Clique sur le bouton pour piocher ta mission !", INDEX('Pool de missions'!$B$2:$B$101, MOD(COUNTIF('Tirage du Mercato'!$D:$D, A56) * 7 + ROW(A56), 100) + 1))</f>
        <v>⚠️ Clique sur le bouton pour piocher ta mission !</v>
      </c>
      <c r="F56" s="5" t="s">
        <v>145</v>
      </c>
    </row>
    <row r="57" ht="15.75" customHeight="1">
      <c r="A57" s="6" t="s">
        <v>146</v>
      </c>
      <c r="B57" s="6" t="s">
        <v>16</v>
      </c>
      <c r="C57" s="7">
        <v>0.0</v>
      </c>
      <c r="D57" s="6"/>
      <c r="E57" s="3" t="str">
        <f t="array" ref="E57">IF(COUNTIF('Tirage du Mercato'!$D:$D, A57)=0, "⚠️ Clique sur le bouton pour piocher ta mission !", INDEX('Pool de missions'!$B$2:$B$101, MOD(COUNTIF('Tirage du Mercato'!$D:$D, A57) * 7 + ROW(A57), 100) + 1))</f>
        <v>⚠️ Clique sur le bouton pour piocher ta mission !</v>
      </c>
      <c r="F57" s="5" t="s">
        <v>147</v>
      </c>
    </row>
    <row r="58" ht="15.75" customHeight="1">
      <c r="A58" s="3" t="s">
        <v>148</v>
      </c>
      <c r="B58" s="3" t="s">
        <v>52</v>
      </c>
      <c r="C58" s="4">
        <v>0.0</v>
      </c>
      <c r="D58" s="3"/>
      <c r="E58" s="3" t="str">
        <f t="array" ref="E58">IF(COUNTIF('Tirage du Mercato'!$D:$D, A58)=0, "⚠️ Clique sur le bouton pour piocher ta mission !", INDEX('Pool de missions'!$B$2:$B$101, MOD(COUNTIF('Tirage du Mercato'!$D:$D, A58) * 7 + ROW(A58), 100) + 1))</f>
        <v>⚠️ Clique sur le bouton pour piocher ta mission !</v>
      </c>
      <c r="F58" s="5" t="s">
        <v>149</v>
      </c>
    </row>
    <row r="59" ht="15.75" customHeight="1">
      <c r="A59" s="6" t="s">
        <v>150</v>
      </c>
      <c r="B59" s="6" t="s">
        <v>94</v>
      </c>
      <c r="C59" s="7">
        <v>0.0</v>
      </c>
      <c r="D59" s="6"/>
      <c r="E59" s="3" t="str">
        <f t="array" ref="E59">IF(COUNTIF('Tirage du Mercato'!$D:$D, A59)=0, "⚠️ Clique sur le bouton pour piocher ta mission !", INDEX('Pool de missions'!$B$2:$B$101, MOD(COUNTIF('Tirage du Mercato'!$D:$D, A59) * 7 + ROW(A59), 100) + 1))</f>
        <v>⚠️ Clique sur le bouton pour piocher ta mission !</v>
      </c>
      <c r="F59" s="5" t="s">
        <v>151</v>
      </c>
    </row>
    <row r="60" ht="15.75" customHeight="1">
      <c r="A60" s="3" t="s">
        <v>152</v>
      </c>
      <c r="B60" s="3" t="s">
        <v>19</v>
      </c>
      <c r="C60" s="4">
        <v>0.0</v>
      </c>
      <c r="D60" s="3"/>
      <c r="E60" s="3" t="str">
        <f t="array" ref="E60">IF(COUNTIF('Tirage du Mercato'!$D:$D, A60)=0, "⚠️ Clique sur le bouton pour piocher ta mission !", INDEX('Pool de missions'!$B$2:$B$101, MOD(COUNTIF('Tirage du Mercato'!$D:$D, A60) * 7 + ROW(A60), 100) + 1))</f>
        <v>⚠️ Clique sur le bouton pour piocher ta mission !</v>
      </c>
      <c r="F60" s="5" t="s">
        <v>153</v>
      </c>
    </row>
    <row r="61" ht="15.75" customHeight="1">
      <c r="A61" s="6" t="s">
        <v>154</v>
      </c>
      <c r="B61" s="6" t="s">
        <v>49</v>
      </c>
      <c r="C61" s="7">
        <v>0.0</v>
      </c>
      <c r="D61" s="6"/>
      <c r="E61" s="3" t="str">
        <f t="array" ref="E61">IF(COUNTIF('Tirage du Mercato'!$D:$D, A61)=0, "⚠️ Clique sur le bouton pour piocher ta mission !", INDEX('Pool de missions'!$B$2:$B$101, MOD(COUNTIF('Tirage du Mercato'!$D:$D, A61) * 7 + ROW(A61), 100) + 1))</f>
        <v>⚠️ Clique sur le bouton pour piocher ta mission !</v>
      </c>
      <c r="F61" s="5" t="s">
        <v>155</v>
      </c>
    </row>
    <row r="62" ht="15.75" customHeight="1">
      <c r="A62" s="3" t="s">
        <v>156</v>
      </c>
      <c r="B62" s="3" t="s">
        <v>16</v>
      </c>
      <c r="C62" s="4">
        <v>0.0</v>
      </c>
      <c r="D62" s="3"/>
      <c r="E62" s="3" t="str">
        <f t="array" ref="E62">IF(COUNTIF('Tirage du Mercato'!$D:$D, A62)=0, "⚠️ Clique sur le bouton pour piocher ta mission !", INDEX('Pool de missions'!$B$2:$B$101, MOD(COUNTIF('Tirage du Mercato'!$D:$D, A62) * 7 + ROW(A62), 100) + 1))</f>
        <v>⚠️ Clique sur le bouton pour piocher ta mission !</v>
      </c>
      <c r="F62" s="5" t="s">
        <v>157</v>
      </c>
    </row>
    <row r="63" ht="15.75" customHeight="1">
      <c r="A63" s="6" t="s">
        <v>158</v>
      </c>
      <c r="B63" s="6" t="s">
        <v>97</v>
      </c>
      <c r="C63" s="7">
        <v>0.0</v>
      </c>
      <c r="D63" s="6"/>
      <c r="E63" s="3" t="str">
        <f t="array" ref="E63">IF(COUNTIF('Tirage du Mercato'!$D:$D, A63)=0, "⚠️ Clique sur le bouton pour piocher ta mission !", INDEX('Pool de missions'!$B$2:$B$101, MOD(COUNTIF('Tirage du Mercato'!$D:$D, A63) * 7 + ROW(A63), 100) + 1))</f>
        <v>⚠️ Clique sur le bouton pour piocher ta mission !</v>
      </c>
      <c r="F63" s="5" t="s">
        <v>159</v>
      </c>
    </row>
    <row r="64" ht="15.75" customHeight="1">
      <c r="A64" s="3" t="s">
        <v>160</v>
      </c>
      <c r="B64" s="3" t="s">
        <v>161</v>
      </c>
      <c r="C64" s="4">
        <v>0.0</v>
      </c>
      <c r="D64" s="3"/>
      <c r="E64" s="3" t="str">
        <f t="array" ref="E64">IF(COUNTIF('Tirage du Mercato'!$D:$D, A64)=0, "⚠️ Clique sur le bouton pour piocher ta mission !", INDEX('Pool de missions'!$B$2:$B$101, MOD(COUNTIF('Tirage du Mercato'!$D:$D, A64) * 7 + ROW(A64), 100) + 1))</f>
        <v>⚠️ Clique sur le bouton pour piocher ta mission !</v>
      </c>
      <c r="F64" s="5" t="s">
        <v>162</v>
      </c>
    </row>
    <row r="65" ht="15.75" customHeight="1">
      <c r="A65" s="6" t="s">
        <v>163</v>
      </c>
      <c r="B65" s="6" t="s">
        <v>164</v>
      </c>
      <c r="C65" s="7">
        <v>0.0</v>
      </c>
      <c r="D65" s="6"/>
      <c r="E65" s="3" t="str">
        <f t="array" ref="E65">IF(COUNTIF('Tirage du Mercato'!$D:$D, A65)=0, "⚠️ Clique sur le bouton pour piocher ta mission !", INDEX('Pool de missions'!$B$2:$B$101, MOD(COUNTIF('Tirage du Mercato'!$D:$D, A65) * 7 + ROW(A65), 100) + 1))</f>
        <v>⚠️ Clique sur le bouton pour piocher ta mission !</v>
      </c>
      <c r="F65" s="5" t="s">
        <v>165</v>
      </c>
    </row>
    <row r="66" ht="15.75" customHeight="1">
      <c r="A66" s="3" t="s">
        <v>166</v>
      </c>
      <c r="B66" s="3" t="s">
        <v>161</v>
      </c>
      <c r="C66" s="4">
        <v>0.0</v>
      </c>
      <c r="D66" s="3"/>
      <c r="E66" s="3" t="str">
        <f t="array" ref="E66">IF(COUNTIF('Tirage du Mercato'!$D:$D, A66)=0, "⚠️ Clique sur le bouton pour piocher ta mission !", INDEX('Pool de missions'!$B$2:$B$101, MOD(COUNTIF('Tirage du Mercato'!$D:$D, A66) * 7 + ROW(A66), 100) + 1))</f>
        <v>⚠️ Clique sur le bouton pour piocher ta mission !</v>
      </c>
      <c r="F66" s="5" t="s">
        <v>167</v>
      </c>
    </row>
    <row r="67" ht="15.75" customHeight="1">
      <c r="A67" s="6" t="s">
        <v>168</v>
      </c>
      <c r="B67" s="6" t="s">
        <v>49</v>
      </c>
      <c r="C67" s="7">
        <v>0.0</v>
      </c>
      <c r="D67" s="6"/>
      <c r="E67" s="3" t="str">
        <f t="array" ref="E67">IF(COUNTIF('Tirage du Mercato'!$D:$D, A67)=0, "⚠️ Clique sur le bouton pour piocher ta mission !", INDEX('Pool de missions'!$B$2:$B$101, MOD(COUNTIF('Tirage du Mercato'!$D:$D, A67) * 7 + ROW(A67), 100) + 1))</f>
        <v>⚠️ Clique sur le bouton pour piocher ta mission !</v>
      </c>
      <c r="F67" s="5" t="s">
        <v>169</v>
      </c>
    </row>
    <row r="68" ht="15.75" customHeight="1">
      <c r="A68" s="3" t="s">
        <v>170</v>
      </c>
      <c r="B68" s="3" t="s">
        <v>49</v>
      </c>
      <c r="C68" s="4">
        <v>0.0</v>
      </c>
      <c r="D68" s="3"/>
      <c r="E68" s="3" t="str">
        <f t="array" ref="E68">IF(COUNTIF('Tirage du Mercato'!$D:$D, A68)=0, "⚠️ Clique sur le bouton pour piocher ta mission !", INDEX('Pool de missions'!$B$2:$B$101, MOD(COUNTIF('Tirage du Mercato'!$D:$D, A68) * 7 + ROW(A68), 100) + 1))</f>
        <v>⚠️ Clique sur le bouton pour piocher ta mission !</v>
      </c>
      <c r="F68" s="5" t="s">
        <v>171</v>
      </c>
    </row>
    <row r="69" ht="15.75" customHeight="1">
      <c r="A69" s="8" t="s">
        <v>172</v>
      </c>
      <c r="B69" s="8" t="s">
        <v>52</v>
      </c>
      <c r="C69" s="9">
        <v>0.0</v>
      </c>
      <c r="D69" s="9" t="s">
        <v>173</v>
      </c>
      <c r="E69" s="9" t="s">
        <v>174</v>
      </c>
      <c r="F69" s="5" t="s">
        <v>175</v>
      </c>
    </row>
    <row r="70" ht="15.75" customHeight="1">
      <c r="A70" s="8" t="s">
        <v>176</v>
      </c>
      <c r="B70" s="8" t="s">
        <v>16</v>
      </c>
      <c r="C70" s="9">
        <v>0.0</v>
      </c>
      <c r="D70" s="9" t="s">
        <v>173</v>
      </c>
      <c r="E70" s="9" t="s">
        <v>174</v>
      </c>
      <c r="F70" s="5" t="s">
        <v>177</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93.14"/>
    <col customWidth="1" min="3" max="3" width="11.71"/>
    <col customWidth="1" min="4" max="26" width="8.71"/>
  </cols>
  <sheetData>
    <row r="1" ht="21.75" customHeight="1">
      <c r="A1" s="10" t="s">
        <v>178</v>
      </c>
      <c r="B1" s="10" t="s">
        <v>179</v>
      </c>
      <c r="C1" s="1" t="s">
        <v>180</v>
      </c>
    </row>
    <row r="2">
      <c r="A2" s="11" t="s">
        <v>181</v>
      </c>
      <c r="B2" s="12" t="s">
        <v>182</v>
      </c>
      <c r="C2" s="11" t="s">
        <v>183</v>
      </c>
    </row>
    <row r="3">
      <c r="A3" s="11" t="s">
        <v>184</v>
      </c>
      <c r="B3" s="12" t="s">
        <v>185</v>
      </c>
      <c r="C3" s="11" t="s">
        <v>183</v>
      </c>
    </row>
    <row r="4">
      <c r="A4" s="11" t="s">
        <v>186</v>
      </c>
      <c r="B4" s="12" t="s">
        <v>187</v>
      </c>
      <c r="C4" s="11" t="s">
        <v>183</v>
      </c>
    </row>
    <row r="5">
      <c r="A5" s="11" t="s">
        <v>188</v>
      </c>
      <c r="B5" s="12" t="s">
        <v>189</v>
      </c>
      <c r="C5" s="11" t="s">
        <v>183</v>
      </c>
    </row>
    <row r="6">
      <c r="A6" s="11" t="s">
        <v>190</v>
      </c>
      <c r="B6" s="12" t="s">
        <v>191</v>
      </c>
      <c r="C6" s="11" t="s">
        <v>183</v>
      </c>
    </row>
    <row r="7">
      <c r="A7" s="11" t="s">
        <v>192</v>
      </c>
      <c r="B7" s="12" t="s">
        <v>193</v>
      </c>
      <c r="C7" s="11" t="s">
        <v>183</v>
      </c>
    </row>
    <row r="8">
      <c r="A8" s="11" t="s">
        <v>194</v>
      </c>
      <c r="B8" s="12" t="s">
        <v>195</v>
      </c>
      <c r="C8" s="11" t="s">
        <v>183</v>
      </c>
    </row>
    <row r="9">
      <c r="A9" s="11" t="s">
        <v>196</v>
      </c>
      <c r="B9" s="12" t="s">
        <v>197</v>
      </c>
      <c r="C9" s="11" t="s">
        <v>183</v>
      </c>
    </row>
    <row r="10">
      <c r="A10" s="11" t="s">
        <v>198</v>
      </c>
      <c r="B10" s="12" t="s">
        <v>199</v>
      </c>
      <c r="C10" s="11" t="s">
        <v>183</v>
      </c>
    </row>
    <row r="11">
      <c r="A11" s="11" t="s">
        <v>200</v>
      </c>
      <c r="B11" s="12" t="s">
        <v>201</v>
      </c>
      <c r="C11" s="11" t="s">
        <v>202</v>
      </c>
    </row>
    <row r="12">
      <c r="A12" s="11" t="s">
        <v>203</v>
      </c>
      <c r="B12" s="12" t="s">
        <v>204</v>
      </c>
      <c r="C12" s="11" t="s">
        <v>202</v>
      </c>
    </row>
    <row r="13">
      <c r="A13" s="11" t="s">
        <v>205</v>
      </c>
      <c r="B13" s="12" t="s">
        <v>206</v>
      </c>
      <c r="C13" s="11" t="s">
        <v>202</v>
      </c>
    </row>
    <row r="14">
      <c r="A14" s="11" t="s">
        <v>207</v>
      </c>
      <c r="B14" s="12" t="s">
        <v>208</v>
      </c>
      <c r="C14" s="11" t="s">
        <v>202</v>
      </c>
    </row>
    <row r="15">
      <c r="A15" s="11" t="s">
        <v>209</v>
      </c>
      <c r="B15" s="12" t="s">
        <v>210</v>
      </c>
      <c r="C15" s="11" t="s">
        <v>202</v>
      </c>
    </row>
    <row r="16">
      <c r="A16" s="11" t="s">
        <v>211</v>
      </c>
      <c r="B16" s="12" t="s">
        <v>212</v>
      </c>
      <c r="C16" s="11" t="s">
        <v>202</v>
      </c>
    </row>
    <row r="17">
      <c r="A17" s="11" t="s">
        <v>213</v>
      </c>
      <c r="B17" s="12" t="s">
        <v>214</v>
      </c>
      <c r="C17" s="11" t="s">
        <v>202</v>
      </c>
    </row>
    <row r="18">
      <c r="A18" s="11" t="s">
        <v>215</v>
      </c>
      <c r="B18" s="12" t="s">
        <v>216</v>
      </c>
      <c r="C18" s="11" t="s">
        <v>202</v>
      </c>
    </row>
    <row r="19">
      <c r="A19" s="11" t="s">
        <v>217</v>
      </c>
      <c r="B19" s="12" t="s">
        <v>218</v>
      </c>
      <c r="C19" s="11" t="s">
        <v>202</v>
      </c>
    </row>
    <row r="20">
      <c r="A20" s="11" t="s">
        <v>219</v>
      </c>
      <c r="B20" s="12" t="s">
        <v>220</v>
      </c>
      <c r="C20" s="11" t="s">
        <v>202</v>
      </c>
    </row>
    <row r="21" ht="15.75" customHeight="1">
      <c r="A21" s="11" t="s">
        <v>221</v>
      </c>
      <c r="B21" s="12" t="s">
        <v>222</v>
      </c>
      <c r="C21" s="11" t="s">
        <v>223</v>
      </c>
    </row>
    <row r="22" ht="15.75" customHeight="1">
      <c r="A22" s="11" t="s">
        <v>224</v>
      </c>
      <c r="B22" s="12" t="s">
        <v>225</v>
      </c>
      <c r="C22" s="11" t="s">
        <v>223</v>
      </c>
    </row>
    <row r="23" ht="15.75" customHeight="1">
      <c r="A23" s="11" t="s">
        <v>226</v>
      </c>
      <c r="B23" s="12" t="s">
        <v>227</v>
      </c>
      <c r="C23" s="11" t="s">
        <v>223</v>
      </c>
    </row>
    <row r="24" ht="15.75" customHeight="1">
      <c r="A24" s="11" t="s">
        <v>228</v>
      </c>
      <c r="B24" s="12" t="s">
        <v>229</v>
      </c>
      <c r="C24" s="11" t="s">
        <v>223</v>
      </c>
    </row>
    <row r="25" ht="15.75" customHeight="1">
      <c r="A25" s="11" t="s">
        <v>230</v>
      </c>
      <c r="B25" s="12" t="s">
        <v>231</v>
      </c>
      <c r="C25" s="11" t="s">
        <v>223</v>
      </c>
    </row>
    <row r="26" ht="15.75" customHeight="1">
      <c r="A26" s="11" t="s">
        <v>232</v>
      </c>
      <c r="B26" s="12" t="s">
        <v>233</v>
      </c>
      <c r="C26" s="11" t="s">
        <v>223</v>
      </c>
    </row>
    <row r="27" ht="15.75" customHeight="1">
      <c r="A27" s="11" t="s">
        <v>234</v>
      </c>
      <c r="B27" s="12" t="s">
        <v>235</v>
      </c>
      <c r="C27" s="11" t="s">
        <v>223</v>
      </c>
    </row>
    <row r="28" ht="15.75" customHeight="1">
      <c r="A28" s="11" t="s">
        <v>236</v>
      </c>
      <c r="B28" s="12" t="s">
        <v>237</v>
      </c>
      <c r="C28" s="11" t="s">
        <v>223</v>
      </c>
    </row>
    <row r="29" ht="15.75" customHeight="1">
      <c r="A29" s="11" t="s">
        <v>238</v>
      </c>
      <c r="B29" s="12" t="s">
        <v>239</v>
      </c>
      <c r="C29" s="11" t="s">
        <v>240</v>
      </c>
    </row>
    <row r="30" ht="15.75" customHeight="1">
      <c r="A30" s="11" t="s">
        <v>241</v>
      </c>
      <c r="B30" s="12" t="s">
        <v>242</v>
      </c>
      <c r="C30" s="11" t="s">
        <v>240</v>
      </c>
    </row>
    <row r="31" ht="15.75" customHeight="1">
      <c r="A31" s="11" t="s">
        <v>243</v>
      </c>
      <c r="B31" s="12" t="s">
        <v>244</v>
      </c>
      <c r="C31" s="11" t="s">
        <v>240</v>
      </c>
    </row>
    <row r="32" ht="15.75" customHeight="1">
      <c r="A32" s="13" t="s">
        <v>245</v>
      </c>
      <c r="B32" s="13" t="s">
        <v>246</v>
      </c>
      <c r="C32" s="13" t="s">
        <v>240</v>
      </c>
    </row>
    <row r="33" ht="15.75" customHeight="1">
      <c r="A33" s="13" t="s">
        <v>247</v>
      </c>
      <c r="B33" s="13" t="s">
        <v>248</v>
      </c>
      <c r="C33" s="13" t="s">
        <v>240</v>
      </c>
    </row>
    <row r="34" ht="15.75" customHeight="1">
      <c r="A34" s="13" t="s">
        <v>249</v>
      </c>
      <c r="B34" s="13" t="s">
        <v>250</v>
      </c>
      <c r="C34" s="13" t="s">
        <v>240</v>
      </c>
    </row>
    <row r="35" ht="15.75" customHeight="1">
      <c r="A35" s="13" t="s">
        <v>251</v>
      </c>
      <c r="B35" s="13" t="s">
        <v>252</v>
      </c>
      <c r="C35" s="13" t="s">
        <v>240</v>
      </c>
    </row>
    <row r="36" ht="15.75" customHeight="1">
      <c r="A36" s="13" t="s">
        <v>253</v>
      </c>
      <c r="B36" s="13" t="s">
        <v>254</v>
      </c>
      <c r="C36" s="13" t="s">
        <v>240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256.29"/>
  </cols>
  <sheetData>
    <row r="1">
      <c r="A1" s="13" t="s">
        <v>255</v>
      </c>
      <c r="B1" s="13" t="s">
        <v>256</v>
      </c>
    </row>
    <row r="2">
      <c r="A2" s="13">
        <v>1.0</v>
      </c>
      <c r="B2" s="13" t="s">
        <v>257</v>
      </c>
    </row>
    <row r="3">
      <c r="A3" s="13">
        <v>2.0</v>
      </c>
      <c r="B3" s="13" t="s">
        <v>258</v>
      </c>
    </row>
    <row r="4">
      <c r="A4" s="13">
        <v>3.0</v>
      </c>
      <c r="B4" s="13" t="s">
        <v>259</v>
      </c>
    </row>
    <row r="5">
      <c r="A5" s="13">
        <v>4.0</v>
      </c>
      <c r="B5" s="13" t="s">
        <v>260</v>
      </c>
    </row>
    <row r="6">
      <c r="A6" s="13">
        <v>5.0</v>
      </c>
      <c r="B6" s="13" t="s">
        <v>261</v>
      </c>
    </row>
    <row r="7">
      <c r="A7" s="13">
        <v>6.0</v>
      </c>
      <c r="B7" s="13" t="s">
        <v>262</v>
      </c>
    </row>
    <row r="8">
      <c r="A8" s="13">
        <v>7.0</v>
      </c>
      <c r="B8" s="13" t="s">
        <v>263</v>
      </c>
    </row>
    <row r="9">
      <c r="A9" s="13">
        <v>8.0</v>
      </c>
      <c r="B9" s="13" t="s">
        <v>264</v>
      </c>
    </row>
    <row r="10">
      <c r="A10" s="13">
        <v>9.0</v>
      </c>
      <c r="B10" s="13" t="s">
        <v>265</v>
      </c>
    </row>
    <row r="11">
      <c r="A11" s="13">
        <v>10.0</v>
      </c>
      <c r="B11" s="13" t="s">
        <v>266</v>
      </c>
    </row>
    <row r="12">
      <c r="A12" s="13">
        <v>11.0</v>
      </c>
      <c r="B12" s="13" t="s">
        <v>267</v>
      </c>
    </row>
    <row r="13">
      <c r="A13" s="13">
        <v>12.0</v>
      </c>
      <c r="B13" s="13" t="s">
        <v>268</v>
      </c>
    </row>
    <row r="14">
      <c r="A14" s="13">
        <v>13.0</v>
      </c>
      <c r="B14" s="13" t="s">
        <v>269</v>
      </c>
    </row>
    <row r="15">
      <c r="A15" s="13">
        <v>14.0</v>
      </c>
      <c r="B15" s="13" t="s">
        <v>270</v>
      </c>
    </row>
    <row r="16">
      <c r="A16" s="13">
        <v>15.0</v>
      </c>
      <c r="B16" s="13" t="s">
        <v>271</v>
      </c>
    </row>
    <row r="17">
      <c r="A17" s="13">
        <v>16.0</v>
      </c>
      <c r="B17" s="13" t="s">
        <v>272</v>
      </c>
    </row>
    <row r="18">
      <c r="A18" s="13">
        <v>17.0</v>
      </c>
      <c r="B18" s="13" t="s">
        <v>273</v>
      </c>
    </row>
    <row r="19">
      <c r="A19" s="13">
        <v>18.0</v>
      </c>
      <c r="B19" s="13" t="s">
        <v>274</v>
      </c>
    </row>
    <row r="20">
      <c r="A20" s="13">
        <v>19.0</v>
      </c>
      <c r="B20" s="13" t="s">
        <v>275</v>
      </c>
    </row>
    <row r="21">
      <c r="A21" s="13">
        <v>20.0</v>
      </c>
      <c r="B21" s="13" t="s">
        <v>276</v>
      </c>
    </row>
    <row r="22">
      <c r="A22" s="13">
        <v>21.0</v>
      </c>
      <c r="B22" s="13" t="s">
        <v>277</v>
      </c>
    </row>
    <row r="23">
      <c r="A23" s="13">
        <v>22.0</v>
      </c>
      <c r="B23" s="13" t="s">
        <v>278</v>
      </c>
    </row>
    <row r="24">
      <c r="A24" s="13">
        <v>23.0</v>
      </c>
      <c r="B24" s="13" t="s">
        <v>279</v>
      </c>
    </row>
    <row r="25">
      <c r="A25" s="13">
        <v>24.0</v>
      </c>
      <c r="B25" s="13" t="s">
        <v>280</v>
      </c>
    </row>
    <row r="26">
      <c r="A26" s="13">
        <v>25.0</v>
      </c>
      <c r="B26" s="13" t="s">
        <v>281</v>
      </c>
    </row>
    <row r="27">
      <c r="A27" s="13">
        <v>26.0</v>
      </c>
      <c r="B27" s="13" t="s">
        <v>282</v>
      </c>
    </row>
    <row r="28">
      <c r="A28" s="13">
        <v>27.0</v>
      </c>
      <c r="B28" s="13" t="s">
        <v>283</v>
      </c>
    </row>
    <row r="29">
      <c r="A29" s="13">
        <v>28.0</v>
      </c>
      <c r="B29" s="13" t="s">
        <v>284</v>
      </c>
    </row>
    <row r="30">
      <c r="A30" s="13">
        <v>29.0</v>
      </c>
      <c r="B30" s="13" t="s">
        <v>285</v>
      </c>
    </row>
    <row r="31">
      <c r="A31" s="13">
        <v>30.0</v>
      </c>
      <c r="B31" s="13" t="s">
        <v>286</v>
      </c>
    </row>
    <row r="32">
      <c r="A32" s="13">
        <v>31.0</v>
      </c>
      <c r="B32" s="13" t="s">
        <v>287</v>
      </c>
    </row>
    <row r="33">
      <c r="A33" s="13">
        <v>32.0</v>
      </c>
      <c r="B33" s="13" t="s">
        <v>288</v>
      </c>
    </row>
    <row r="34">
      <c r="A34" s="13">
        <v>33.0</v>
      </c>
      <c r="B34" s="13" t="s">
        <v>289</v>
      </c>
    </row>
    <row r="35">
      <c r="A35" s="13">
        <v>34.0</v>
      </c>
      <c r="B35" s="13" t="s">
        <v>290</v>
      </c>
    </row>
    <row r="36">
      <c r="A36" s="13">
        <v>35.0</v>
      </c>
      <c r="B36" s="13" t="s">
        <v>291</v>
      </c>
    </row>
    <row r="37">
      <c r="A37" s="13">
        <v>36.0</v>
      </c>
      <c r="B37" s="13" t="s">
        <v>292</v>
      </c>
    </row>
    <row r="38">
      <c r="A38" s="13">
        <v>37.0</v>
      </c>
      <c r="B38" s="13" t="s">
        <v>293</v>
      </c>
    </row>
    <row r="39">
      <c r="A39" s="13">
        <v>38.0</v>
      </c>
      <c r="B39" s="13" t="s">
        <v>294</v>
      </c>
    </row>
    <row r="40">
      <c r="A40" s="13">
        <v>39.0</v>
      </c>
      <c r="B40" s="13" t="s">
        <v>295</v>
      </c>
    </row>
    <row r="41">
      <c r="A41" s="13">
        <v>40.0</v>
      </c>
      <c r="B41" s="13" t="s">
        <v>296</v>
      </c>
    </row>
    <row r="42">
      <c r="A42" s="13">
        <v>41.0</v>
      </c>
      <c r="B42" s="13" t="s">
        <v>297</v>
      </c>
    </row>
    <row r="43">
      <c r="A43" s="13">
        <v>42.0</v>
      </c>
      <c r="B43" s="13" t="s">
        <v>298</v>
      </c>
    </row>
    <row r="44">
      <c r="A44" s="13">
        <v>43.0</v>
      </c>
      <c r="B44" s="13" t="s">
        <v>299</v>
      </c>
    </row>
    <row r="45">
      <c r="A45" s="13">
        <v>44.0</v>
      </c>
      <c r="B45" s="13" t="s">
        <v>300</v>
      </c>
    </row>
    <row r="46">
      <c r="A46" s="13">
        <v>45.0</v>
      </c>
      <c r="B46" s="13" t="s">
        <v>301</v>
      </c>
    </row>
    <row r="47">
      <c r="A47" s="13">
        <v>46.0</v>
      </c>
      <c r="B47" s="13" t="s">
        <v>302</v>
      </c>
    </row>
    <row r="48">
      <c r="A48" s="13">
        <v>47.0</v>
      </c>
      <c r="B48" s="13" t="s">
        <v>303</v>
      </c>
    </row>
    <row r="49">
      <c r="A49" s="13">
        <v>48.0</v>
      </c>
      <c r="B49" s="13" t="s">
        <v>304</v>
      </c>
    </row>
    <row r="50">
      <c r="A50" s="13">
        <v>49.0</v>
      </c>
      <c r="B50" s="13" t="s">
        <v>305</v>
      </c>
    </row>
    <row r="51">
      <c r="A51" s="13">
        <v>50.0</v>
      </c>
      <c r="B51" s="13" t="s">
        <v>306</v>
      </c>
    </row>
    <row r="52">
      <c r="A52" s="13">
        <v>51.0</v>
      </c>
      <c r="B52" s="13" t="s">
        <v>307</v>
      </c>
    </row>
    <row r="53">
      <c r="A53" s="13">
        <v>52.0</v>
      </c>
      <c r="B53" s="13" t="s">
        <v>308</v>
      </c>
    </row>
    <row r="54">
      <c r="A54" s="13">
        <v>53.0</v>
      </c>
      <c r="B54" s="13" t="s">
        <v>309</v>
      </c>
    </row>
    <row r="55">
      <c r="A55" s="13">
        <v>54.0</v>
      </c>
      <c r="B55" s="13" t="s">
        <v>310</v>
      </c>
    </row>
    <row r="56">
      <c r="A56" s="13">
        <v>55.0</v>
      </c>
      <c r="B56" s="13" t="s">
        <v>311</v>
      </c>
    </row>
    <row r="57">
      <c r="A57" s="13">
        <v>56.0</v>
      </c>
      <c r="B57" s="13" t="s">
        <v>312</v>
      </c>
    </row>
    <row r="58">
      <c r="A58" s="13">
        <v>57.0</v>
      </c>
      <c r="B58" s="13" t="s">
        <v>313</v>
      </c>
    </row>
    <row r="59">
      <c r="A59" s="13">
        <v>58.0</v>
      </c>
      <c r="B59" s="13" t="s">
        <v>314</v>
      </c>
    </row>
    <row r="60">
      <c r="A60" s="13">
        <v>59.0</v>
      </c>
      <c r="B60" s="13" t="s">
        <v>315</v>
      </c>
    </row>
    <row r="61">
      <c r="A61" s="13">
        <v>60.0</v>
      </c>
      <c r="B61" s="13" t="s">
        <v>316</v>
      </c>
    </row>
    <row r="62">
      <c r="A62" s="13">
        <v>61.0</v>
      </c>
      <c r="B62" s="13" t="s">
        <v>317</v>
      </c>
    </row>
    <row r="63">
      <c r="A63" s="13">
        <v>62.0</v>
      </c>
      <c r="B63" s="13" t="s">
        <v>318</v>
      </c>
    </row>
    <row r="64">
      <c r="A64" s="13">
        <v>63.0</v>
      </c>
      <c r="B64" s="13" t="s">
        <v>319</v>
      </c>
    </row>
    <row r="65">
      <c r="A65" s="13">
        <v>64.0</v>
      </c>
      <c r="B65" s="13" t="s">
        <v>320</v>
      </c>
    </row>
    <row r="66">
      <c r="A66" s="13">
        <v>65.0</v>
      </c>
      <c r="B66" s="13" t="s">
        <v>321</v>
      </c>
    </row>
    <row r="67">
      <c r="A67" s="13">
        <v>66.0</v>
      </c>
      <c r="B67" s="13" t="s">
        <v>322</v>
      </c>
    </row>
    <row r="68">
      <c r="A68" s="13">
        <v>67.0</v>
      </c>
      <c r="B68" s="13" t="s">
        <v>323</v>
      </c>
    </row>
    <row r="69">
      <c r="A69" s="13">
        <v>68.0</v>
      </c>
      <c r="B69" s="13" t="s">
        <v>324</v>
      </c>
    </row>
    <row r="70">
      <c r="A70" s="13">
        <v>69.0</v>
      </c>
      <c r="B70" s="13" t="s">
        <v>325</v>
      </c>
    </row>
    <row r="71">
      <c r="A71" s="13">
        <v>70.0</v>
      </c>
      <c r="B71" s="13" t="s">
        <v>326</v>
      </c>
    </row>
    <row r="72">
      <c r="A72" s="13">
        <v>71.0</v>
      </c>
      <c r="B72" s="13" t="s">
        <v>327</v>
      </c>
    </row>
    <row r="73">
      <c r="A73" s="13">
        <v>72.0</v>
      </c>
      <c r="B73" s="13" t="s">
        <v>328</v>
      </c>
    </row>
    <row r="74">
      <c r="A74" s="13">
        <v>73.0</v>
      </c>
      <c r="B74" s="13" t="s">
        <v>329</v>
      </c>
    </row>
    <row r="75">
      <c r="A75" s="13">
        <v>74.0</v>
      </c>
      <c r="B75" s="13" t="s">
        <v>330</v>
      </c>
    </row>
    <row r="76">
      <c r="A76" s="13">
        <v>75.0</v>
      </c>
      <c r="B76" s="13" t="s">
        <v>331</v>
      </c>
    </row>
    <row r="77">
      <c r="A77" s="13">
        <v>76.0</v>
      </c>
      <c r="B77" s="13" t="s">
        <v>332</v>
      </c>
    </row>
    <row r="78">
      <c r="A78" s="13">
        <v>77.0</v>
      </c>
      <c r="B78" s="13" t="s">
        <v>333</v>
      </c>
    </row>
    <row r="79">
      <c r="A79" s="13">
        <v>78.0</v>
      </c>
      <c r="B79" s="13" t="s">
        <v>334</v>
      </c>
    </row>
    <row r="80">
      <c r="A80" s="13">
        <v>79.0</v>
      </c>
      <c r="B80" s="13" t="s">
        <v>335</v>
      </c>
    </row>
    <row r="81">
      <c r="A81" s="13">
        <v>80.0</v>
      </c>
      <c r="B81" s="13" t="s">
        <v>336</v>
      </c>
    </row>
    <row r="82">
      <c r="A82" s="13">
        <v>81.0</v>
      </c>
      <c r="B82" s="13" t="s">
        <v>337</v>
      </c>
    </row>
    <row r="83">
      <c r="A83" s="13">
        <v>82.0</v>
      </c>
      <c r="B83" s="13" t="s">
        <v>338</v>
      </c>
    </row>
    <row r="84">
      <c r="A84" s="13">
        <v>83.0</v>
      </c>
      <c r="B84" s="13" t="s">
        <v>339</v>
      </c>
    </row>
    <row r="85">
      <c r="A85" s="13">
        <v>84.0</v>
      </c>
      <c r="B85" s="13" t="s">
        <v>340</v>
      </c>
    </row>
    <row r="86">
      <c r="A86" s="13">
        <v>85.0</v>
      </c>
      <c r="B86" s="13" t="s">
        <v>341</v>
      </c>
    </row>
    <row r="87">
      <c r="A87" s="13">
        <v>86.0</v>
      </c>
      <c r="B87" s="13" t="s">
        <v>342</v>
      </c>
    </row>
    <row r="88">
      <c r="A88" s="13">
        <v>87.0</v>
      </c>
      <c r="B88" s="13" t="s">
        <v>343</v>
      </c>
    </row>
    <row r="89">
      <c r="A89" s="13">
        <v>88.0</v>
      </c>
      <c r="B89" s="13" t="s">
        <v>344</v>
      </c>
    </row>
    <row r="90">
      <c r="A90" s="13">
        <v>89.0</v>
      </c>
      <c r="B90" s="13" t="s">
        <v>345</v>
      </c>
    </row>
    <row r="91">
      <c r="A91" s="13">
        <v>90.0</v>
      </c>
      <c r="B91" s="13" t="s">
        <v>346</v>
      </c>
    </row>
    <row r="92">
      <c r="A92" s="13">
        <v>91.0</v>
      </c>
      <c r="B92" s="13" t="s">
        <v>347</v>
      </c>
    </row>
    <row r="93">
      <c r="A93" s="13">
        <v>92.0</v>
      </c>
      <c r="B93" s="13" t="s">
        <v>348</v>
      </c>
    </row>
    <row r="94">
      <c r="A94" s="13">
        <v>93.0</v>
      </c>
      <c r="B94" s="13" t="s">
        <v>349</v>
      </c>
    </row>
    <row r="95">
      <c r="A95" s="13">
        <v>94.0</v>
      </c>
      <c r="B95" s="13" t="s">
        <v>350</v>
      </c>
    </row>
    <row r="96">
      <c r="A96" s="13">
        <v>95.0</v>
      </c>
      <c r="B96" s="13" t="s">
        <v>351</v>
      </c>
    </row>
    <row r="97">
      <c r="A97" s="13">
        <v>96.0</v>
      </c>
      <c r="B97" s="13" t="s">
        <v>352</v>
      </c>
    </row>
    <row r="98">
      <c r="A98" s="13">
        <v>97.0</v>
      </c>
      <c r="B98" s="13" t="s">
        <v>353</v>
      </c>
    </row>
    <row r="99">
      <c r="A99" s="13">
        <v>98.0</v>
      </c>
      <c r="B99" s="13" t="s">
        <v>354</v>
      </c>
    </row>
    <row r="100">
      <c r="A100" s="13">
        <v>99.0</v>
      </c>
      <c r="B100" s="13" t="s">
        <v>355</v>
      </c>
    </row>
    <row r="101">
      <c r="A101" s="13">
        <v>100.0</v>
      </c>
      <c r="B101" s="13" t="s">
        <v>356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3" t="s">
        <v>0</v>
      </c>
      <c r="B1" s="13" t="s">
        <v>1</v>
      </c>
      <c r="C1" s="13" t="s">
        <v>2</v>
      </c>
      <c r="D1" s="13" t="s">
        <v>3</v>
      </c>
    </row>
  </sheetData>
  <drawing r:id="rId1"/>
</worksheet>
</file>